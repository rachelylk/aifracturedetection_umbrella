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kuo/Documents/DPhil/Umbrella review/Submission folder/bmj/"/>
    </mc:Choice>
  </mc:AlternateContent>
  <xr:revisionPtr revIDLastSave="0" documentId="13_ncr:1_{4E84F184-239A-1C4A-8CDF-01EFB8356B56}" xr6:coauthVersionLast="47" xr6:coauthVersionMax="47" xr10:uidLastSave="{00000000-0000-0000-0000-000000000000}"/>
  <bookViews>
    <workbookView xWindow="33420" yWindow="500" windowWidth="30880" windowHeight="23300" activeTab="1" xr2:uid="{99BA2F44-8845-0044-93A4-A904993F22C5}"/>
  </bookViews>
  <sheets>
    <sheet name="Introduction" sheetId="4" r:id="rId1"/>
    <sheet name="AMSTAR-2" sheetId="5" r:id="rId2"/>
    <sheet name="Credibility assessment" sheetId="2" r:id="rId3"/>
    <sheet name="GRADE" sheetId="11" r:id="rId4"/>
    <sheet name="GRADE by MA, main" sheetId="6" r:id="rId5"/>
    <sheet name="GRADE by MA, modality" sheetId="7" r:id="rId6"/>
    <sheet name="GRADE by MA, fracture location" sheetId="8" r:id="rId7"/>
    <sheet name="GRADE by MA, population" sheetId="9" r:id="rId8"/>
    <sheet name="GRADE by MA, validatio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1" l="1"/>
  <c r="I25" i="11"/>
  <c r="I26" i="11"/>
  <c r="I27" i="11"/>
  <c r="I28" i="11"/>
  <c r="I29" i="11"/>
  <c r="I30" i="11"/>
  <c r="I31" i="11"/>
  <c r="I34" i="11"/>
  <c r="I35" i="11"/>
  <c r="I36" i="11"/>
  <c r="I37" i="11"/>
  <c r="I40" i="11"/>
  <c r="I41" i="11"/>
  <c r="I42" i="11"/>
  <c r="I43" i="11"/>
  <c r="I15" i="11"/>
  <c r="I16" i="11"/>
  <c r="I17" i="11"/>
  <c r="I18" i="11"/>
  <c r="I19" i="11"/>
  <c r="I20" i="11"/>
  <c r="I21" i="11"/>
  <c r="I14" i="11"/>
  <c r="I7" i="11"/>
  <c r="I8" i="11"/>
  <c r="I9" i="11"/>
  <c r="I10" i="11"/>
  <c r="I11" i="11"/>
  <c r="I6" i="11"/>
  <c r="O34" i="11"/>
  <c r="O35" i="11"/>
  <c r="O36" i="11"/>
  <c r="O37" i="11"/>
  <c r="O40" i="11"/>
  <c r="O41" i="11"/>
  <c r="O42" i="11"/>
  <c r="O43" i="11"/>
  <c r="O7" i="11"/>
  <c r="O8" i="11"/>
  <c r="O9" i="11"/>
  <c r="O10" i="11"/>
  <c r="O11" i="11"/>
  <c r="O14" i="11"/>
  <c r="O15" i="11"/>
  <c r="O16" i="11"/>
  <c r="O17" i="11"/>
  <c r="O18" i="11"/>
  <c r="O19" i="11"/>
  <c r="O20" i="11"/>
  <c r="O21" i="11"/>
  <c r="O24" i="11"/>
  <c r="O25" i="11"/>
  <c r="O26" i="11"/>
  <c r="O27" i="11"/>
  <c r="O28" i="11"/>
  <c r="O29" i="11"/>
  <c r="O30" i="11"/>
  <c r="O31" i="11"/>
  <c r="O6" i="11"/>
  <c r="J5" i="8"/>
  <c r="J4" i="8"/>
  <c r="J5" i="6"/>
  <c r="J4" i="6"/>
  <c r="L3" i="2" l="1"/>
  <c r="L11" i="2"/>
  <c r="L12" i="2"/>
  <c r="L13" i="2"/>
  <c r="L14" i="2"/>
  <c r="L21" i="2"/>
  <c r="L22" i="2"/>
  <c r="L23" i="2"/>
  <c r="L24" i="2"/>
  <c r="L25" i="2"/>
  <c r="L26" i="2"/>
  <c r="L27" i="2"/>
  <c r="L28" i="2"/>
  <c r="L31" i="2"/>
  <c r="L32" i="2"/>
  <c r="L33" i="2"/>
  <c r="L34" i="2"/>
  <c r="L37" i="2"/>
  <c r="L38" i="2"/>
  <c r="L39" i="2"/>
  <c r="L40" i="2"/>
  <c r="L4" i="2"/>
  <c r="L5" i="2"/>
  <c r="L6" i="2"/>
  <c r="L7" i="2"/>
  <c r="L8" i="2"/>
  <c r="J10" i="7"/>
  <c r="J10" i="6"/>
  <c r="E46" i="7"/>
  <c r="G46" i="7"/>
  <c r="J41" i="9"/>
  <c r="J41" i="10"/>
  <c r="J41" i="8"/>
  <c r="J41" i="7"/>
  <c r="J41" i="6"/>
  <c r="J45" i="7"/>
  <c r="J44" i="7"/>
  <c r="J45" i="8"/>
  <c r="J44" i="8"/>
  <c r="J45" i="9"/>
  <c r="J44" i="9"/>
  <c r="J45" i="10"/>
  <c r="J44" i="10"/>
  <c r="J45" i="6"/>
  <c r="J44" i="6"/>
  <c r="J43" i="10"/>
  <c r="J42" i="10"/>
  <c r="J43" i="9"/>
  <c r="J42" i="9"/>
  <c r="J43" i="8"/>
  <c r="J42" i="8"/>
  <c r="J43" i="7"/>
  <c r="J42" i="7"/>
  <c r="J43" i="6"/>
  <c r="J42" i="6"/>
  <c r="J40" i="7"/>
  <c r="J40" i="8"/>
  <c r="J40" i="9"/>
  <c r="J40" i="10"/>
  <c r="J40" i="6"/>
  <c r="J39" i="7"/>
  <c r="J38" i="7"/>
  <c r="J39" i="8"/>
  <c r="J38" i="8"/>
  <c r="J39" i="9"/>
  <c r="J38" i="9"/>
  <c r="J39" i="10"/>
  <c r="J38" i="10"/>
  <c r="J39" i="6"/>
  <c r="J38" i="6"/>
  <c r="J37" i="8"/>
  <c r="J36" i="8"/>
  <c r="J37" i="9"/>
  <c r="J36" i="9"/>
  <c r="J37" i="10"/>
  <c r="J36" i="10"/>
  <c r="J37" i="7"/>
  <c r="J36" i="7"/>
  <c r="J37" i="6"/>
  <c r="J36" i="6"/>
  <c r="J35" i="10"/>
  <c r="J34" i="10"/>
  <c r="J35" i="9"/>
  <c r="J34" i="9"/>
  <c r="J35" i="8"/>
  <c r="J34" i="8"/>
  <c r="J35" i="7"/>
  <c r="J34" i="7"/>
  <c r="J35" i="6"/>
  <c r="J34" i="6"/>
  <c r="J33" i="10"/>
  <c r="J32" i="10"/>
  <c r="J33" i="9"/>
  <c r="J32" i="9"/>
  <c r="J33" i="8"/>
  <c r="J32" i="8"/>
  <c r="J33" i="7"/>
  <c r="J32" i="7"/>
  <c r="J33" i="6"/>
  <c r="J32" i="6"/>
  <c r="J31" i="10"/>
  <c r="J30" i="10"/>
  <c r="J31" i="9"/>
  <c r="J30" i="9"/>
  <c r="J31" i="8"/>
  <c r="J30" i="8"/>
  <c r="J31" i="7"/>
  <c r="J30" i="7"/>
  <c r="J31" i="6"/>
  <c r="J30" i="6"/>
  <c r="J29" i="10"/>
  <c r="J28" i="10"/>
  <c r="J29" i="9"/>
  <c r="J28" i="9"/>
  <c r="J29" i="8"/>
  <c r="J28" i="8"/>
  <c r="J29" i="7"/>
  <c r="J28" i="7"/>
  <c r="J29" i="6"/>
  <c r="J28" i="6"/>
  <c r="J26" i="10"/>
  <c r="J26" i="9"/>
  <c r="J26" i="8"/>
  <c r="J26" i="7"/>
  <c r="J46" i="7" l="1"/>
  <c r="H46" i="7"/>
  <c r="J25" i="6"/>
  <c r="J24" i="6"/>
  <c r="J25" i="7"/>
  <c r="J24" i="7"/>
  <c r="J25" i="8"/>
  <c r="J24" i="8"/>
  <c r="J25" i="9"/>
  <c r="J24" i="9"/>
  <c r="J25" i="10"/>
  <c r="J24" i="10"/>
  <c r="J23" i="10"/>
  <c r="J22" i="10"/>
  <c r="J23" i="9"/>
  <c r="J22" i="9"/>
  <c r="J23" i="8"/>
  <c r="J22" i="8"/>
  <c r="J23" i="7"/>
  <c r="J22" i="7"/>
  <c r="J21" i="10"/>
  <c r="J20" i="10"/>
  <c r="J21" i="9"/>
  <c r="J20" i="9"/>
  <c r="J21" i="8"/>
  <c r="J20" i="8"/>
  <c r="J21" i="7"/>
  <c r="J20" i="7"/>
  <c r="J21" i="6"/>
  <c r="J22" i="6"/>
  <c r="J23" i="6"/>
  <c r="J26" i="6"/>
  <c r="J20" i="6"/>
  <c r="J19" i="6"/>
  <c r="J18" i="6"/>
  <c r="J17" i="10"/>
  <c r="J16" i="10"/>
  <c r="J15" i="10"/>
  <c r="J14" i="10"/>
  <c r="J13" i="10"/>
  <c r="J12" i="10"/>
  <c r="J9" i="10"/>
  <c r="J8" i="10"/>
  <c r="J7" i="10"/>
  <c r="J6" i="10"/>
  <c r="J17" i="9"/>
  <c r="J16" i="9"/>
  <c r="J15" i="9"/>
  <c r="J14" i="9"/>
  <c r="J13" i="9"/>
  <c r="J12" i="9"/>
  <c r="J9" i="9"/>
  <c r="J8" i="9"/>
  <c r="J7" i="9"/>
  <c r="J6" i="9"/>
  <c r="J17" i="8"/>
  <c r="J16" i="8"/>
  <c r="J15" i="8"/>
  <c r="J14" i="8"/>
  <c r="J13" i="8"/>
  <c r="J12" i="8"/>
  <c r="J9" i="8"/>
  <c r="J8" i="8"/>
  <c r="J7" i="8"/>
  <c r="J6" i="8"/>
  <c r="J17" i="7"/>
  <c r="J16" i="7"/>
  <c r="J15" i="7"/>
  <c r="J14" i="7"/>
  <c r="J13" i="7"/>
  <c r="J12" i="7"/>
  <c r="J9" i="7"/>
  <c r="J8" i="7"/>
  <c r="J7" i="7"/>
  <c r="J6" i="7"/>
  <c r="J5" i="7"/>
  <c r="J4" i="7"/>
  <c r="J17" i="6" l="1"/>
  <c r="J16" i="6"/>
  <c r="J13" i="6"/>
  <c r="J14" i="6"/>
  <c r="J15" i="6"/>
  <c r="J12" i="6"/>
  <c r="J9" i="6" l="1"/>
  <c r="J8" i="6"/>
  <c r="J7" i="6"/>
  <c r="J6" i="6"/>
  <c r="J37" i="2" l="1"/>
  <c r="J38" i="2"/>
  <c r="J39" i="2"/>
  <c r="J40" i="2"/>
  <c r="J11" i="2"/>
  <c r="J12" i="2"/>
  <c r="J13" i="2"/>
  <c r="J14" i="2"/>
  <c r="J15" i="2"/>
  <c r="J16" i="2"/>
  <c r="J17" i="2"/>
  <c r="J18" i="2"/>
  <c r="J21" i="2"/>
  <c r="J22" i="2"/>
  <c r="J23" i="2"/>
  <c r="J24" i="2"/>
  <c r="J25" i="2"/>
  <c r="J26" i="2"/>
  <c r="J27" i="2"/>
  <c r="J28" i="2"/>
  <c r="J31" i="2"/>
  <c r="J32" i="2"/>
  <c r="J33" i="2"/>
  <c r="J34" i="2"/>
  <c r="J4" i="2"/>
  <c r="J5" i="2"/>
  <c r="J6" i="2"/>
  <c r="J7" i="2"/>
  <c r="J8" i="2"/>
  <c r="J3" i="2"/>
</calcChain>
</file>

<file path=xl/sharedStrings.xml><?xml version="1.0" encoding="utf-8"?>
<sst xmlns="http://schemas.openxmlformats.org/spreadsheetml/2006/main" count="4145" uniqueCount="230">
  <si>
    <t>Credibility</t>
  </si>
  <si>
    <t>Finding</t>
  </si>
  <si>
    <t>Volume of evidence</t>
  </si>
  <si>
    <t>Class</t>
  </si>
  <si>
    <t>Consistency</t>
  </si>
  <si>
    <t>Overall AI performance</t>
  </si>
  <si>
    <t>Overall clinician performance</t>
  </si>
  <si>
    <t>Group</t>
  </si>
  <si>
    <t>Sensitivity</t>
  </si>
  <si>
    <t>Specificity</t>
  </si>
  <si>
    <t>Bias/quality</t>
  </si>
  <si>
    <t>% of moderate/high AMSTAR2</t>
  </si>
  <si>
    <t>1 to 5</t>
  </si>
  <si>
    <t>Coherence</t>
  </si>
  <si>
    <t>Overall</t>
  </si>
  <si>
    <t>Overall AI-as-assistant performance</t>
  </si>
  <si>
    <t>Point estimate</t>
  </si>
  <si>
    <t>95% CI lower</t>
  </si>
  <si>
    <t>95% CI upper</t>
  </si>
  <si>
    <t>95% CI width</t>
  </si>
  <si>
    <t>Radiographs</t>
  </si>
  <si>
    <t>CT</t>
  </si>
  <si>
    <t>MRI</t>
  </si>
  <si>
    <t>DEXA</t>
  </si>
  <si>
    <t>AI-alone by modality</t>
  </si>
  <si>
    <t>AI-alone by fracture location</t>
  </si>
  <si>
    <t>Upper limb</t>
  </si>
  <si>
    <t>Lower limb</t>
  </si>
  <si>
    <t>Axial</t>
  </si>
  <si>
    <t>Skull/facial</t>
  </si>
  <si>
    <t>AI-alone by validation type</t>
  </si>
  <si>
    <t>Internal</t>
  </si>
  <si>
    <t>External</t>
  </si>
  <si>
    <t>AI-alone by population</t>
  </si>
  <si>
    <t>Adult</t>
  </si>
  <si>
    <t>Paediatric</t>
  </si>
  <si>
    <t>N/A</t>
  </si>
  <si>
    <t>Meta-analyses = n</t>
  </si>
  <si>
    <t>High</t>
  </si>
  <si>
    <t>Moderate</t>
  </si>
  <si>
    <t>Low</t>
  </si>
  <si>
    <t>Very low</t>
  </si>
  <si>
    <t>Imprecision</t>
  </si>
  <si>
    <t>Meta-analysis</t>
  </si>
  <si>
    <t>Question and inclusion</t>
  </si>
  <si>
    <t>Protocol</t>
  </si>
  <si>
    <t>Study Design</t>
  </si>
  <si>
    <t>Comprehensive search</t>
  </si>
  <si>
    <t>Study selection</t>
  </si>
  <si>
    <t>Data extraction</t>
  </si>
  <si>
    <t>Excluded studies justification</t>
  </si>
  <si>
    <t>Included study details</t>
  </si>
  <si>
    <t>Risk of Bias</t>
  </si>
  <si>
    <t>Funding sources</t>
  </si>
  <si>
    <t xml:space="preserve">Statistical methods in meta-analysis </t>
  </si>
  <si>
    <t xml:space="preserve">Risk of bias in meta-analysis </t>
  </si>
  <si>
    <t>Risk of bias in results interpretation</t>
  </si>
  <si>
    <t xml:space="preserve">Explanation of heterogeneity </t>
  </si>
  <si>
    <t xml:space="preserve">Publication bias </t>
  </si>
  <si>
    <t>Conflict of interest</t>
  </si>
  <si>
    <t>Yes</t>
  </si>
  <si>
    <t>No</t>
  </si>
  <si>
    <t>Partial Yes</t>
  </si>
  <si>
    <t xml:space="preserve"> Yes</t>
  </si>
  <si>
    <t>Systematic review</t>
  </si>
  <si>
    <t>Beculic 2024</t>
  </si>
  <si>
    <t>Binh 2025</t>
  </si>
  <si>
    <t>Dashti 2024</t>
  </si>
  <si>
    <t>Den Hengst 2025</t>
  </si>
  <si>
    <t>Hansen 2024</t>
  </si>
  <si>
    <t>Husarek 2024</t>
  </si>
  <si>
    <t>Ju 2025</t>
  </si>
  <si>
    <t>Jung 2024</t>
  </si>
  <si>
    <t>Kraus 2023</t>
  </si>
  <si>
    <t>Kuo 2022</t>
  </si>
  <si>
    <t>Lex 2023</t>
  </si>
  <si>
    <t>Li 2024</t>
  </si>
  <si>
    <t>Lopez-Melia 2024</t>
  </si>
  <si>
    <t>Mellon 2025</t>
  </si>
  <si>
    <t>Nowroozi 2024</t>
  </si>
  <si>
    <t>Ramadanov 2024</t>
  </si>
  <si>
    <t>Sharifi 2024</t>
  </si>
  <si>
    <t>Suen 2024</t>
  </si>
  <si>
    <t>Wong 2024</t>
  </si>
  <si>
    <t>van den Broek 2024</t>
  </si>
  <si>
    <t>Yang 2020</t>
  </si>
  <si>
    <t>Zhang 2022</t>
  </si>
  <si>
    <t>Introduction</t>
  </si>
  <si>
    <t>This worksheet includes the AMSTAR-2 assessment for each included meta-analysis and systematic review</t>
  </si>
  <si>
    <t>This worksheet works through quality/credibility/strength of evidence assessments.</t>
  </si>
  <si>
    <t>Sheet 1 (AMSTAR-2): AMSTAR-2 assessment for each included meta-analysis and systematic review.</t>
  </si>
  <si>
    <t>Sheet 2 (Credibility assessment): Credibility assessment for each second-order meta-analytic finding.</t>
  </si>
  <si>
    <t>Sheet 3 (GRADE assessment): GRADE assessment for each second-order meta-analytic finding.</t>
  </si>
  <si>
    <t xml:space="preserve">For each finding in Sheet 2 and Sheet 3, we assess sensitivity and specificity separately. We provide a classification of credibility/GRADE based on the lower of the two. </t>
  </si>
  <si>
    <t>Credibility of findings:</t>
  </si>
  <si>
    <t>AMSTAR-2:</t>
  </si>
  <si>
    <t xml:space="preserve">There are 16 domains (7 critical) for meta-analyses, and 13 domains (5 critical) for systematic reviews. </t>
  </si>
  <si>
    <t>There are five classes of credibility: I (convincing), II (highly suggestive), III (suggestive), IV (weak), and V (no evidence).</t>
  </si>
  <si>
    <t>We assess credibility based on four domains: volume of evidence, consistency of evidence, bias/quality of evidence, coherence of evidence.</t>
  </si>
  <si>
    <r>
      <t xml:space="preserve">We assign an overall credibility score for each pooled meta-analytic finding based on the </t>
    </r>
    <r>
      <rPr>
        <b/>
        <sz val="18"/>
        <color theme="1"/>
        <rFont val="Calibri"/>
        <family val="2"/>
        <scheme val="minor"/>
      </rPr>
      <t>lowest class recorded.</t>
    </r>
  </si>
  <si>
    <t>GRADE assessment:</t>
  </si>
  <si>
    <t>Outcome</t>
  </si>
  <si>
    <t>Risk of bias</t>
  </si>
  <si>
    <t>Inconsistency</t>
  </si>
  <si>
    <t>Indirectness</t>
  </si>
  <si>
    <t>Publication bias</t>
  </si>
  <si>
    <t>Number of contributing meta-analyses</t>
  </si>
  <si>
    <t>Number of contributing primary studies</t>
  </si>
  <si>
    <t>% of publication bias</t>
  </si>
  <si>
    <t>Number of primary studies</t>
  </si>
  <si>
    <t>From each contributing meta-analysis: assess risk of bias, indirectness, and publication bias</t>
  </si>
  <si>
    <t>From the pooled second order result: assess inconsistency and imprecision</t>
  </si>
  <si>
    <t>Source of risk of bias information</t>
  </si>
  <si>
    <t>Binh</t>
  </si>
  <si>
    <t>Beculic</t>
  </si>
  <si>
    <t>Dashti</t>
  </si>
  <si>
    <t>Den Hengst</t>
  </si>
  <si>
    <t>Hansen</t>
  </si>
  <si>
    <t>Husarek</t>
  </si>
  <si>
    <t>Ju</t>
  </si>
  <si>
    <t>Jung</t>
  </si>
  <si>
    <t>Kraus</t>
  </si>
  <si>
    <t>Kuo</t>
  </si>
  <si>
    <t>Li</t>
  </si>
  <si>
    <t>Lopez-Melia</t>
  </si>
  <si>
    <t>Mellon</t>
  </si>
  <si>
    <t>Nowroozi</t>
  </si>
  <si>
    <t>Ramadanov</t>
  </si>
  <si>
    <t>Sharifi</t>
  </si>
  <si>
    <t>Suen</t>
  </si>
  <si>
    <t>Wong</t>
  </si>
  <si>
    <t>van den Broek</t>
  </si>
  <si>
    <t>Yang</t>
  </si>
  <si>
    <t>Zhang</t>
  </si>
  <si>
    <t>Starting level</t>
  </si>
  <si>
    <t>% low risk</t>
  </si>
  <si>
    <t>Y</t>
  </si>
  <si>
    <t>N</t>
  </si>
  <si>
    <t>QUADAS-2</t>
  </si>
  <si>
    <t>Unclear</t>
  </si>
  <si>
    <t>No change</t>
  </si>
  <si>
    <t>Classiciation</t>
  </si>
  <si>
    <t>GRADE</t>
  </si>
  <si>
    <t>Population</t>
  </si>
  <si>
    <t>Imaging</t>
  </si>
  <si>
    <t>Fracture location</t>
  </si>
  <si>
    <t>Vertebral only</t>
  </si>
  <si>
    <t>How many points</t>
  </si>
  <si>
    <t>Yes/No/NR</t>
  </si>
  <si>
    <t>Final GRADE</t>
  </si>
  <si>
    <t>Start here:</t>
  </si>
  <si>
    <t>AI-alone</t>
  </si>
  <si>
    <t>Interim GRADE</t>
  </si>
  <si>
    <t>Clinician performance</t>
  </si>
  <si>
    <t>Appropriate reference</t>
  </si>
  <si>
    <t>AI-assist</t>
  </si>
  <si>
    <t>Added tabular</t>
  </si>
  <si>
    <t>Skull</t>
  </si>
  <si>
    <t>Upgrade</t>
  </si>
  <si>
    <t>Classification</t>
  </si>
  <si>
    <t>Elbow only</t>
  </si>
  <si>
    <t>Downgrade</t>
  </si>
  <si>
    <t>If QUADAS-2 overall not available:</t>
  </si>
  <si>
    <r>
      <t xml:space="preserve">If </t>
    </r>
    <r>
      <rPr>
        <b/>
        <sz val="16"/>
        <color theme="1"/>
        <rFont val="Calibri"/>
        <family val="2"/>
        <scheme val="minor"/>
      </rPr>
      <t>High</t>
    </r>
    <r>
      <rPr>
        <sz val="16"/>
        <color theme="1"/>
        <rFont val="Calibri"/>
        <family val="2"/>
        <scheme val="minor"/>
      </rPr>
      <t xml:space="preserve"> in &gt; 2 domains</t>
    </r>
  </si>
  <si>
    <r>
      <t xml:space="preserve">If </t>
    </r>
    <r>
      <rPr>
        <b/>
        <sz val="16"/>
        <color theme="1"/>
        <rFont val="Calibri"/>
        <family val="2"/>
        <scheme val="minor"/>
      </rPr>
      <t xml:space="preserve">High </t>
    </r>
    <r>
      <rPr>
        <sz val="16"/>
        <color theme="1"/>
        <rFont val="Calibri"/>
        <family val="2"/>
        <scheme val="minor"/>
      </rPr>
      <t>in 1 domain</t>
    </r>
  </si>
  <si>
    <t>Otherwise</t>
  </si>
  <si>
    <t>Radiograph only</t>
  </si>
  <si>
    <t>Mandible only</t>
  </si>
  <si>
    <t>Radiographs only</t>
  </si>
  <si>
    <t>NR</t>
  </si>
  <si>
    <t>CT only</t>
  </si>
  <si>
    <t>Rib only</t>
  </si>
  <si>
    <t>Wrist only</t>
  </si>
  <si>
    <t>Adults only</t>
  </si>
  <si>
    <t>Facial only</t>
  </si>
  <si>
    <t>Scaphoid only</t>
  </si>
  <si>
    <t>PROBAST</t>
  </si>
  <si>
    <t>Upper limb only</t>
  </si>
  <si>
    <t>Femoral neck only</t>
  </si>
  <si>
    <t>Skull only</t>
  </si>
  <si>
    <t>Hand and wrist only</t>
  </si>
  <si>
    <t>GRADE assessment (Domains 1, 2, 3, 4)</t>
  </si>
  <si>
    <t>(Modal tier)</t>
  </si>
  <si>
    <t>Narrow (&lt;0.15)?</t>
  </si>
  <si>
    <t>95% PI lower</t>
  </si>
  <si>
    <t>95% PI upper</t>
  </si>
  <si>
    <t>MINORS</t>
  </si>
  <si>
    <t>Critically low</t>
  </si>
  <si>
    <t>IV</t>
  </si>
  <si>
    <t>V</t>
  </si>
  <si>
    <t>Overlap ratio (% PI covered by CI)</t>
  </si>
  <si>
    <t>Narrative synthesis concordant?</t>
  </si>
  <si>
    <t>Partial Y - lower bounds wider in narrative synthesis</t>
  </si>
  <si>
    <t>III</t>
  </si>
  <si>
    <t>% of 95% PI covered by 95% CI</t>
  </si>
  <si>
    <t>&gt;30%?</t>
  </si>
  <si>
    <t>Parital Yes</t>
  </si>
  <si>
    <t>Namireddy 2024</t>
  </si>
  <si>
    <t>Raj 2024</t>
  </si>
  <si>
    <t>Wang 2025</t>
  </si>
  <si>
    <t>Ashworth (2025)</t>
  </si>
  <si>
    <t xml:space="preserve"> Low </t>
  </si>
  <si>
    <t>Collins (2025)</t>
  </si>
  <si>
    <t xml:space="preserve">Dankelman (2023) </t>
  </si>
  <si>
    <t>Gatineau (2024)</t>
  </si>
  <si>
    <t xml:space="preserve">Gupta (2023) </t>
  </si>
  <si>
    <t>Khatik (2022)</t>
  </si>
  <si>
    <t>Khatik (2024)</t>
  </si>
  <si>
    <t> Low</t>
  </si>
  <si>
    <t>Meena (2022)</t>
  </si>
  <si>
    <t>Miller (2025)</t>
  </si>
  <si>
    <t>Low </t>
  </si>
  <si>
    <t>Mohammed (2024)</t>
  </si>
  <si>
    <t>Nino-Sandoval (2025)</t>
  </si>
  <si>
    <t>Moderate </t>
  </si>
  <si>
    <t>Oeding (2024)</t>
  </si>
  <si>
    <t>Oliviera (2021)</t>
  </si>
  <si>
    <t>Sadat-Ali (2025)</t>
  </si>
  <si>
    <t>Smets (2021)</t>
  </si>
  <si>
    <t>Vescio (2024)</t>
  </si>
  <si>
    <t>Keller (2023)</t>
  </si>
  <si>
    <t>Kutbi (2024)</t>
  </si>
  <si>
    <t>Kwee (2025)</t>
  </si>
  <si>
    <t>Langerhuizen (2019)</t>
  </si>
  <si>
    <t>Liawrungrueang (2025)</t>
  </si>
  <si>
    <t>Orji (2023)</t>
  </si>
  <si>
    <t>OudeNijhuis (2024)</t>
  </si>
  <si>
    <t>Sehat (2023)</t>
  </si>
  <si>
    <t xml:space="preserve">Shelmerdine (2022) </t>
  </si>
  <si>
    <t>Meta-analyses not included in second-order meta-analysis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</si>
</sst>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8"/>
      <color theme="1"/>
      <name val="Calibri (Body)"/>
    </font>
    <font>
      <b/>
      <sz val="22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3" fillId="12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11" fillId="0" borderId="0" xfId="0" applyFont="1"/>
    <xf numFmtId="0" fontId="2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/>
    <xf numFmtId="0" fontId="3" fillId="5" borderId="15" xfId="0" applyFont="1" applyFill="1" applyBorder="1" applyAlignment="1">
      <alignment horizontal="center"/>
    </xf>
    <xf numFmtId="0" fontId="6" fillId="8" borderId="9" xfId="0" applyFont="1" applyFill="1" applyBorder="1"/>
    <xf numFmtId="0" fontId="6" fillId="8" borderId="6" xfId="0" applyFont="1" applyFill="1" applyBorder="1"/>
    <xf numFmtId="0" fontId="3" fillId="8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0" borderId="0" xfId="0" applyFont="1"/>
    <xf numFmtId="0" fontId="3" fillId="5" borderId="4" xfId="0" applyFont="1" applyFill="1" applyBorder="1"/>
    <xf numFmtId="0" fontId="3" fillId="5" borderId="2" xfId="0" applyFont="1" applyFill="1" applyBorder="1"/>
    <xf numFmtId="0" fontId="3" fillId="12" borderId="2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5" borderId="3" xfId="0" applyFont="1" applyFill="1" applyBorder="1"/>
    <xf numFmtId="0" fontId="6" fillId="3" borderId="9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6" fillId="0" borderId="15" xfId="0" applyFont="1" applyBorder="1"/>
    <xf numFmtId="0" fontId="3" fillId="8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4" fillId="17" borderId="13" xfId="0" applyFont="1" applyFill="1" applyBorder="1" applyAlignment="1">
      <alignment horizontal="center"/>
    </xf>
    <xf numFmtId="0" fontId="14" fillId="15" borderId="7" xfId="0" applyFont="1" applyFill="1" applyBorder="1"/>
    <xf numFmtId="0" fontId="14" fillId="16" borderId="7" xfId="0" applyFont="1" applyFill="1" applyBorder="1"/>
    <xf numFmtId="0" fontId="14" fillId="17" borderId="10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4" fillId="18" borderId="9" xfId="0" applyFont="1" applyFill="1" applyBorder="1" applyAlignment="1">
      <alignment horizontal="center"/>
    </xf>
    <xf numFmtId="0" fontId="12" fillId="18" borderId="9" xfId="0" applyFont="1" applyFill="1" applyBorder="1"/>
    <xf numFmtId="0" fontId="12" fillId="18" borderId="6" xfId="0" applyFont="1" applyFill="1" applyBorder="1"/>
    <xf numFmtId="0" fontId="12" fillId="17" borderId="6" xfId="0" applyFont="1" applyFill="1" applyBorder="1" applyAlignment="1">
      <alignment horizontal="center"/>
    </xf>
    <xf numFmtId="0" fontId="12" fillId="0" borderId="8" xfId="0" applyFont="1" applyBorder="1"/>
    <xf numFmtId="0" fontId="14" fillId="17" borderId="2" xfId="0" applyFont="1" applyFill="1" applyBorder="1"/>
    <xf numFmtId="0" fontId="14" fillId="17" borderId="1" xfId="0" applyFont="1" applyFill="1" applyBorder="1"/>
    <xf numFmtId="0" fontId="14" fillId="17" borderId="3" xfId="0" applyFont="1" applyFill="1" applyBorder="1"/>
    <xf numFmtId="0" fontId="14" fillId="15" borderId="4" xfId="0" applyFont="1" applyFill="1" applyBorder="1"/>
    <xf numFmtId="0" fontId="14" fillId="16" borderId="3" xfId="0" applyFont="1" applyFill="1" applyBorder="1"/>
    <xf numFmtId="0" fontId="14" fillId="17" borderId="5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19" borderId="7" xfId="0" applyFont="1" applyFill="1" applyBorder="1" applyAlignment="1">
      <alignment horizontal="center"/>
    </xf>
    <xf numFmtId="0" fontId="14" fillId="20" borderId="7" xfId="0" applyFont="1" applyFill="1" applyBorder="1" applyAlignment="1">
      <alignment horizontal="center"/>
    </xf>
    <xf numFmtId="0" fontId="14" fillId="16" borderId="15" xfId="0" applyFont="1" applyFill="1" applyBorder="1" applyAlignment="1">
      <alignment horizontal="center"/>
    </xf>
    <xf numFmtId="0" fontId="14" fillId="16" borderId="14" xfId="0" applyFont="1" applyFill="1" applyBorder="1"/>
    <xf numFmtId="0" fontId="14" fillId="16" borderId="15" xfId="0" applyFont="1" applyFill="1" applyBorder="1"/>
    <xf numFmtId="0" fontId="14" fillId="17" borderId="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2" fillId="18" borderId="10" xfId="0" applyFont="1" applyFill="1" applyBorder="1"/>
    <xf numFmtId="0" fontId="12" fillId="18" borderId="7" xfId="0" applyFont="1" applyFill="1" applyBorder="1"/>
    <xf numFmtId="0" fontId="14" fillId="15" borderId="2" xfId="0" applyFont="1" applyFill="1" applyBorder="1"/>
    <xf numFmtId="0" fontId="14" fillId="15" borderId="3" xfId="0" applyFont="1" applyFill="1" applyBorder="1"/>
    <xf numFmtId="0" fontId="6" fillId="21" borderId="0" xfId="0" applyFont="1" applyFill="1"/>
    <xf numFmtId="0" fontId="12" fillId="21" borderId="0" xfId="0" applyFont="1" applyFill="1"/>
    <xf numFmtId="0" fontId="16" fillId="21" borderId="0" xfId="0" applyFont="1" applyFill="1"/>
    <xf numFmtId="0" fontId="12" fillId="21" borderId="15" xfId="0" applyFont="1" applyFill="1" applyBorder="1"/>
    <xf numFmtId="0" fontId="6" fillId="21" borderId="15" xfId="0" applyFont="1" applyFill="1" applyBorder="1"/>
    <xf numFmtId="0" fontId="5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/>
    <xf numFmtId="0" fontId="2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0" fontId="19" fillId="23" borderId="0" xfId="0" applyFont="1" applyFill="1" applyAlignment="1">
      <alignment horizontal="center"/>
    </xf>
    <xf numFmtId="0" fontId="18" fillId="22" borderId="0" xfId="0" applyFont="1" applyFill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2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4" fillId="16" borderId="18" xfId="0" applyFont="1" applyFill="1" applyBorder="1" applyAlignment="1">
      <alignment horizontal="center"/>
    </xf>
    <xf numFmtId="0" fontId="14" fillId="16" borderId="17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center"/>
    </xf>
    <xf numFmtId="0" fontId="15" fillId="18" borderId="9" xfId="0" applyFont="1" applyFill="1" applyBorder="1" applyAlignment="1">
      <alignment horizontal="center"/>
    </xf>
    <xf numFmtId="0" fontId="14" fillId="14" borderId="5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14" fillId="15" borderId="17" xfId="0" applyFont="1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10" xfId="0" applyFill="1" applyBorder="1" applyAlignment="1">
      <alignment horizontal="center"/>
    </xf>
    <xf numFmtId="0" fontId="6" fillId="21" borderId="11" xfId="0" applyFont="1" applyFill="1" applyBorder="1" applyAlignment="1">
      <alignment horizontal="center"/>
    </xf>
    <xf numFmtId="0" fontId="6" fillId="21" borderId="0" xfId="0" applyFont="1" applyFill="1" applyAlignment="1">
      <alignment horizontal="center"/>
    </xf>
    <xf numFmtId="0" fontId="6" fillId="21" borderId="10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0" fontId="14" fillId="14" borderId="12" xfId="0" applyFont="1" applyFill="1" applyBorder="1" applyAlignment="1">
      <alignment horizontal="center"/>
    </xf>
    <xf numFmtId="0" fontId="14" fillId="14" borderId="11" xfId="0" applyFont="1" applyFill="1" applyBorder="1" applyAlignment="1">
      <alignment horizontal="center"/>
    </xf>
    <xf numFmtId="0" fontId="14" fillId="14" borderId="20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21" fillId="8" borderId="4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50B2-DB22-9F4A-BF8C-3B73EBBC6D7D}">
  <dimension ref="A1:A1048576"/>
  <sheetViews>
    <sheetView zoomScale="67" workbookViewId="0">
      <selection activeCell="Q23" sqref="Q23:R33"/>
    </sheetView>
  </sheetViews>
  <sheetFormatPr baseColWidth="10" defaultRowHeight="16" x14ac:dyDescent="0.2"/>
  <sheetData>
    <row r="1" spans="1:1" ht="29" x14ac:dyDescent="0.35">
      <c r="A1" s="19" t="s">
        <v>87</v>
      </c>
    </row>
    <row r="2" spans="1:1" ht="24" x14ac:dyDescent="0.3">
      <c r="A2" s="13" t="s">
        <v>89</v>
      </c>
    </row>
    <row r="4" spans="1:1" ht="24" x14ac:dyDescent="0.3">
      <c r="A4" s="13" t="s">
        <v>90</v>
      </c>
    </row>
    <row r="5" spans="1:1" ht="24" x14ac:dyDescent="0.3">
      <c r="A5" s="13" t="s">
        <v>91</v>
      </c>
    </row>
    <row r="6" spans="1:1" ht="24" x14ac:dyDescent="0.3">
      <c r="A6" s="13" t="s">
        <v>92</v>
      </c>
    </row>
    <row r="8" spans="1:1" ht="24" x14ac:dyDescent="0.3">
      <c r="A8" s="13" t="s">
        <v>93</v>
      </c>
    </row>
    <row r="12" spans="1:1" ht="24" x14ac:dyDescent="0.3">
      <c r="A12" s="20" t="s">
        <v>95</v>
      </c>
    </row>
    <row r="13" spans="1:1" ht="24" x14ac:dyDescent="0.3">
      <c r="A13" s="13" t="s">
        <v>96</v>
      </c>
    </row>
    <row r="19" spans="1:1" ht="24" x14ac:dyDescent="0.3">
      <c r="A19" s="20" t="s">
        <v>94</v>
      </c>
    </row>
    <row r="20" spans="1:1" ht="24" x14ac:dyDescent="0.3">
      <c r="A20" s="13" t="s">
        <v>97</v>
      </c>
    </row>
    <row r="21" spans="1:1" ht="24" x14ac:dyDescent="0.3">
      <c r="A21" s="13" t="s">
        <v>98</v>
      </c>
    </row>
    <row r="22" spans="1:1" ht="24" x14ac:dyDescent="0.3">
      <c r="A22" s="13" t="s">
        <v>99</v>
      </c>
    </row>
    <row r="26" spans="1:1" ht="24" x14ac:dyDescent="0.3">
      <c r="A26" s="20" t="s">
        <v>100</v>
      </c>
    </row>
    <row r="27" spans="1:1" ht="26" x14ac:dyDescent="0.3">
      <c r="A27" s="24" t="s">
        <v>110</v>
      </c>
    </row>
    <row r="28" spans="1:1" ht="26" x14ac:dyDescent="0.3">
      <c r="A28" s="24" t="s">
        <v>111</v>
      </c>
    </row>
    <row r="1048576" spans="1:1" ht="24" x14ac:dyDescent="0.3">
      <c r="A1048576" s="1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6F4A-D033-144E-A5C8-CA70FD1C497E}">
  <dimension ref="A1:S55"/>
  <sheetViews>
    <sheetView tabSelected="1" zoomScale="110" zoomScaleNormal="60" workbookViewId="0">
      <selection activeCell="P5" sqref="P5"/>
    </sheetView>
  </sheetViews>
  <sheetFormatPr baseColWidth="10" defaultRowHeight="19" customHeight="1" x14ac:dyDescent="0.2"/>
  <cols>
    <col min="1" max="1" width="25.83203125" customWidth="1"/>
    <col min="18" max="18" width="14.33203125" customWidth="1"/>
    <col min="19" max="19" width="14.5" customWidth="1"/>
  </cols>
  <sheetData>
    <row r="1" spans="1:19" s="11" customFormat="1" ht="109" customHeight="1" thickBot="1" x14ac:dyDescent="0.3">
      <c r="A1" s="14" t="s">
        <v>43</v>
      </c>
      <c r="B1" s="15" t="s">
        <v>44</v>
      </c>
      <c r="C1" s="17" t="s">
        <v>45</v>
      </c>
      <c r="D1" s="16" t="s">
        <v>46</v>
      </c>
      <c r="E1" s="17" t="s">
        <v>47</v>
      </c>
      <c r="F1" s="16" t="s">
        <v>48</v>
      </c>
      <c r="G1" s="16" t="s">
        <v>49</v>
      </c>
      <c r="H1" s="17" t="s">
        <v>50</v>
      </c>
      <c r="I1" s="16" t="s">
        <v>51</v>
      </c>
      <c r="J1" s="17" t="s">
        <v>52</v>
      </c>
      <c r="K1" s="16" t="s">
        <v>53</v>
      </c>
      <c r="L1" s="18" t="s">
        <v>54</v>
      </c>
      <c r="M1" s="16" t="s">
        <v>55</v>
      </c>
      <c r="N1" s="17" t="s">
        <v>56</v>
      </c>
      <c r="O1" s="16" t="s">
        <v>57</v>
      </c>
      <c r="P1" s="17" t="s">
        <v>58</v>
      </c>
      <c r="Q1" s="16" t="s">
        <v>59</v>
      </c>
      <c r="R1" s="94" t="s">
        <v>14</v>
      </c>
    </row>
    <row r="2" spans="1:19" ht="19" customHeight="1" thickBot="1" x14ac:dyDescent="0.3">
      <c r="A2" s="147" t="s">
        <v>65</v>
      </c>
      <c r="B2" s="144" t="s">
        <v>60</v>
      </c>
      <c r="C2" s="144" t="s">
        <v>60</v>
      </c>
      <c r="D2" s="144" t="s">
        <v>60</v>
      </c>
      <c r="E2" s="164" t="s">
        <v>62</v>
      </c>
      <c r="F2" s="166" t="s">
        <v>61</v>
      </c>
      <c r="G2" s="166" t="s">
        <v>61</v>
      </c>
      <c r="H2" s="166" t="s">
        <v>61</v>
      </c>
      <c r="I2" s="164" t="s">
        <v>62</v>
      </c>
      <c r="J2" s="144" t="s">
        <v>60</v>
      </c>
      <c r="K2" s="166" t="s">
        <v>61</v>
      </c>
      <c r="L2" s="144" t="s">
        <v>60</v>
      </c>
      <c r="M2" s="144" t="s">
        <v>60</v>
      </c>
      <c r="N2" s="166" t="s">
        <v>61</v>
      </c>
      <c r="O2" s="144" t="s">
        <v>60</v>
      </c>
      <c r="P2" s="144" t="s">
        <v>60</v>
      </c>
      <c r="Q2" s="144" t="s">
        <v>60</v>
      </c>
      <c r="R2" s="163" t="s">
        <v>187</v>
      </c>
      <c r="S2" s="86"/>
    </row>
    <row r="3" spans="1:19" ht="19" customHeight="1" thickBot="1" x14ac:dyDescent="0.3">
      <c r="A3" s="146" t="s">
        <v>66</v>
      </c>
      <c r="B3" s="145" t="s">
        <v>60</v>
      </c>
      <c r="C3" s="145" t="s">
        <v>60</v>
      </c>
      <c r="D3" s="145" t="s">
        <v>60</v>
      </c>
      <c r="E3" s="164" t="s">
        <v>62</v>
      </c>
      <c r="F3" s="145" t="s">
        <v>60</v>
      </c>
      <c r="G3" s="145" t="s">
        <v>60</v>
      </c>
      <c r="H3" s="166" t="s">
        <v>61</v>
      </c>
      <c r="I3" s="165" t="s">
        <v>62</v>
      </c>
      <c r="J3" s="145" t="s">
        <v>60</v>
      </c>
      <c r="K3" s="166" t="s">
        <v>61</v>
      </c>
      <c r="L3" s="145" t="s">
        <v>60</v>
      </c>
      <c r="M3" s="166" t="s">
        <v>61</v>
      </c>
      <c r="N3" s="144" t="s">
        <v>60</v>
      </c>
      <c r="O3" s="145" t="s">
        <v>60</v>
      </c>
      <c r="P3" s="145" t="s">
        <v>60</v>
      </c>
      <c r="Q3" s="145" t="s">
        <v>60</v>
      </c>
      <c r="R3" s="163" t="s">
        <v>187</v>
      </c>
      <c r="S3" s="86"/>
    </row>
    <row r="4" spans="1:19" ht="19" customHeight="1" thickBot="1" x14ac:dyDescent="0.3">
      <c r="A4" s="146" t="s">
        <v>67</v>
      </c>
      <c r="B4" s="145" t="s">
        <v>60</v>
      </c>
      <c r="C4" s="165" t="s">
        <v>62</v>
      </c>
      <c r="D4" s="145" t="s">
        <v>60</v>
      </c>
      <c r="E4" s="164" t="s">
        <v>62</v>
      </c>
      <c r="F4" s="145" t="s">
        <v>60</v>
      </c>
      <c r="G4" s="166" t="s">
        <v>61</v>
      </c>
      <c r="H4" s="166" t="s">
        <v>61</v>
      </c>
      <c r="I4" s="165" t="s">
        <v>62</v>
      </c>
      <c r="J4" s="145" t="s">
        <v>60</v>
      </c>
      <c r="K4" s="166" t="s">
        <v>61</v>
      </c>
      <c r="L4" s="145" t="s">
        <v>60</v>
      </c>
      <c r="M4" s="166" t="s">
        <v>61</v>
      </c>
      <c r="N4" s="166" t="s">
        <v>61</v>
      </c>
      <c r="O4" s="166" t="s">
        <v>61</v>
      </c>
      <c r="P4" s="145" t="s">
        <v>60</v>
      </c>
      <c r="Q4" s="145" t="s">
        <v>60</v>
      </c>
      <c r="R4" s="163" t="s">
        <v>187</v>
      </c>
      <c r="S4" s="86"/>
    </row>
    <row r="5" spans="1:19" ht="19" customHeight="1" thickBot="1" x14ac:dyDescent="0.3">
      <c r="A5" s="146" t="s">
        <v>68</v>
      </c>
      <c r="B5" s="145" t="s">
        <v>60</v>
      </c>
      <c r="C5" s="165" t="s">
        <v>62</v>
      </c>
      <c r="D5" s="145" t="s">
        <v>60</v>
      </c>
      <c r="E5" s="164" t="s">
        <v>62</v>
      </c>
      <c r="F5" s="145" t="s">
        <v>60</v>
      </c>
      <c r="G5" s="166" t="s">
        <v>61</v>
      </c>
      <c r="H5" s="166" t="s">
        <v>61</v>
      </c>
      <c r="I5" s="165" t="s">
        <v>62</v>
      </c>
      <c r="J5" s="145" t="s">
        <v>60</v>
      </c>
      <c r="K5" s="166" t="s">
        <v>61</v>
      </c>
      <c r="L5" s="145" t="s">
        <v>60</v>
      </c>
      <c r="M5" s="166" t="s">
        <v>61</v>
      </c>
      <c r="N5" s="166" t="s">
        <v>61</v>
      </c>
      <c r="O5" s="144" t="s">
        <v>60</v>
      </c>
      <c r="P5" s="164" t="s">
        <v>62</v>
      </c>
      <c r="Q5" s="145" t="s">
        <v>60</v>
      </c>
      <c r="R5" s="163" t="s">
        <v>187</v>
      </c>
      <c r="S5" s="86"/>
    </row>
    <row r="6" spans="1:19" ht="19" customHeight="1" thickBot="1" x14ac:dyDescent="0.3">
      <c r="A6" s="147" t="s">
        <v>69</v>
      </c>
      <c r="B6" s="144" t="s">
        <v>60</v>
      </c>
      <c r="C6" s="144" t="s">
        <v>60</v>
      </c>
      <c r="D6" s="144" t="s">
        <v>60</v>
      </c>
      <c r="E6" s="164" t="s">
        <v>62</v>
      </c>
      <c r="F6" s="144" t="s">
        <v>60</v>
      </c>
      <c r="G6" s="144" t="s">
        <v>60</v>
      </c>
      <c r="H6" s="166" t="s">
        <v>61</v>
      </c>
      <c r="I6" s="144" t="s">
        <v>60</v>
      </c>
      <c r="J6" s="144" t="s">
        <v>60</v>
      </c>
      <c r="K6" s="166" t="s">
        <v>61</v>
      </c>
      <c r="L6" s="144" t="s">
        <v>60</v>
      </c>
      <c r="M6" s="166" t="s">
        <v>61</v>
      </c>
      <c r="N6" s="144" t="s">
        <v>60</v>
      </c>
      <c r="O6" s="144" t="s">
        <v>60</v>
      </c>
      <c r="P6" s="166" t="s">
        <v>61</v>
      </c>
      <c r="Q6" s="144" t="s">
        <v>60</v>
      </c>
      <c r="R6" s="163" t="s">
        <v>187</v>
      </c>
      <c r="S6" s="86"/>
    </row>
    <row r="7" spans="1:19" ht="19" customHeight="1" thickBot="1" x14ac:dyDescent="0.3">
      <c r="A7" s="146" t="s">
        <v>70</v>
      </c>
      <c r="B7" s="145" t="s">
        <v>60</v>
      </c>
      <c r="C7" s="166" t="s">
        <v>61</v>
      </c>
      <c r="D7" s="166" t="s">
        <v>61</v>
      </c>
      <c r="E7" s="164" t="s">
        <v>62</v>
      </c>
      <c r="F7" s="145" t="s">
        <v>60</v>
      </c>
      <c r="G7" s="166" t="s">
        <v>61</v>
      </c>
      <c r="H7" s="166" t="s">
        <v>61</v>
      </c>
      <c r="I7" s="145" t="s">
        <v>60</v>
      </c>
      <c r="J7" s="145" t="s">
        <v>60</v>
      </c>
      <c r="K7" s="144" t="s">
        <v>60</v>
      </c>
      <c r="L7" s="145" t="s">
        <v>60</v>
      </c>
      <c r="M7" s="144" t="s">
        <v>60</v>
      </c>
      <c r="N7" s="144" t="s">
        <v>60</v>
      </c>
      <c r="O7" s="144" t="s">
        <v>60</v>
      </c>
      <c r="P7" s="166" t="s">
        <v>61</v>
      </c>
      <c r="Q7" s="145" t="s">
        <v>60</v>
      </c>
      <c r="R7" s="163" t="s">
        <v>187</v>
      </c>
      <c r="S7" s="86"/>
    </row>
    <row r="8" spans="1:19" ht="19" customHeight="1" thickBot="1" x14ac:dyDescent="0.3">
      <c r="A8" s="146" t="s">
        <v>71</v>
      </c>
      <c r="B8" s="145" t="s">
        <v>60</v>
      </c>
      <c r="C8" s="165" t="s">
        <v>62</v>
      </c>
      <c r="D8" s="145" t="s">
        <v>60</v>
      </c>
      <c r="E8" s="164" t="s">
        <v>62</v>
      </c>
      <c r="F8" s="145" t="s">
        <v>60</v>
      </c>
      <c r="G8" s="144" t="s">
        <v>60</v>
      </c>
      <c r="H8" s="166" t="s">
        <v>61</v>
      </c>
      <c r="I8" s="145" t="s">
        <v>60</v>
      </c>
      <c r="J8" s="145" t="s">
        <v>60</v>
      </c>
      <c r="K8" s="166" t="s">
        <v>61</v>
      </c>
      <c r="L8" s="145" t="s">
        <v>60</v>
      </c>
      <c r="M8" s="166" t="s">
        <v>61</v>
      </c>
      <c r="N8" s="144" t="s">
        <v>60</v>
      </c>
      <c r="O8" s="144" t="s">
        <v>60</v>
      </c>
      <c r="P8" s="144" t="s">
        <v>60</v>
      </c>
      <c r="Q8" s="145" t="s">
        <v>60</v>
      </c>
      <c r="R8" s="156" t="s">
        <v>40</v>
      </c>
      <c r="S8" s="86"/>
    </row>
    <row r="9" spans="1:19" ht="19" customHeight="1" thickBot="1" x14ac:dyDescent="0.3">
      <c r="A9" s="146" t="s">
        <v>72</v>
      </c>
      <c r="B9" s="145" t="s">
        <v>61</v>
      </c>
      <c r="C9" s="144" t="s">
        <v>60</v>
      </c>
      <c r="D9" s="166" t="s">
        <v>61</v>
      </c>
      <c r="E9" s="164" t="s">
        <v>62</v>
      </c>
      <c r="F9" s="145" t="s">
        <v>60</v>
      </c>
      <c r="G9" s="144" t="s">
        <v>60</v>
      </c>
      <c r="H9" s="166" t="s">
        <v>61</v>
      </c>
      <c r="I9" s="145" t="s">
        <v>60</v>
      </c>
      <c r="J9" s="145" t="s">
        <v>60</v>
      </c>
      <c r="K9" s="166" t="s">
        <v>61</v>
      </c>
      <c r="L9" s="145" t="s">
        <v>60</v>
      </c>
      <c r="M9" s="144" t="s">
        <v>60</v>
      </c>
      <c r="N9" s="144" t="s">
        <v>60</v>
      </c>
      <c r="O9" s="166" t="s">
        <v>61</v>
      </c>
      <c r="P9" s="144" t="s">
        <v>60</v>
      </c>
      <c r="Q9" s="145" t="s">
        <v>60</v>
      </c>
      <c r="R9" s="156" t="s">
        <v>40</v>
      </c>
      <c r="S9" s="86"/>
    </row>
    <row r="10" spans="1:19" ht="19" customHeight="1" thickBot="1" x14ac:dyDescent="0.3">
      <c r="A10" s="146" t="s">
        <v>73</v>
      </c>
      <c r="B10" s="145" t="s">
        <v>60</v>
      </c>
      <c r="C10" s="165" t="s">
        <v>62</v>
      </c>
      <c r="D10" s="166" t="s">
        <v>61</v>
      </c>
      <c r="E10" s="166" t="s">
        <v>61</v>
      </c>
      <c r="F10" s="166" t="s">
        <v>61</v>
      </c>
      <c r="G10" s="166" t="s">
        <v>61</v>
      </c>
      <c r="H10" s="166" t="s">
        <v>61</v>
      </c>
      <c r="I10" s="145" t="s">
        <v>63</v>
      </c>
      <c r="J10" s="145" t="s">
        <v>60</v>
      </c>
      <c r="K10" s="166" t="s">
        <v>61</v>
      </c>
      <c r="L10" s="145" t="s">
        <v>60</v>
      </c>
      <c r="M10" s="166" t="s">
        <v>61</v>
      </c>
      <c r="N10" s="144" t="s">
        <v>60</v>
      </c>
      <c r="O10" s="144" t="s">
        <v>60</v>
      </c>
      <c r="P10" s="166" t="s">
        <v>61</v>
      </c>
      <c r="Q10" s="145" t="s">
        <v>60</v>
      </c>
      <c r="R10" s="163" t="s">
        <v>187</v>
      </c>
      <c r="S10" s="86"/>
    </row>
    <row r="11" spans="1:19" ht="19" customHeight="1" thickBot="1" x14ac:dyDescent="0.3">
      <c r="A11" s="146" t="s">
        <v>74</v>
      </c>
      <c r="B11" s="145" t="s">
        <v>60</v>
      </c>
      <c r="C11" s="145" t="s">
        <v>60</v>
      </c>
      <c r="D11" s="145" t="s">
        <v>60</v>
      </c>
      <c r="E11" s="145" t="s">
        <v>60</v>
      </c>
      <c r="F11" s="145" t="s">
        <v>60</v>
      </c>
      <c r="G11" s="145" t="s">
        <v>60</v>
      </c>
      <c r="H11" s="166" t="s">
        <v>61</v>
      </c>
      <c r="I11" s="145" t="s">
        <v>60</v>
      </c>
      <c r="J11" s="145" t="s">
        <v>60</v>
      </c>
      <c r="K11" s="166" t="s">
        <v>61</v>
      </c>
      <c r="L11" s="145" t="s">
        <v>60</v>
      </c>
      <c r="M11" s="144" t="s">
        <v>60</v>
      </c>
      <c r="N11" s="144" t="s">
        <v>60</v>
      </c>
      <c r="O11" s="144" t="s">
        <v>60</v>
      </c>
      <c r="P11" s="144" t="s">
        <v>60</v>
      </c>
      <c r="Q11" s="145" t="s">
        <v>60</v>
      </c>
      <c r="R11" s="156" t="s">
        <v>40</v>
      </c>
      <c r="S11" s="86"/>
    </row>
    <row r="12" spans="1:19" ht="19" customHeight="1" thickBot="1" x14ac:dyDescent="0.3">
      <c r="A12" s="146" t="s">
        <v>76</v>
      </c>
      <c r="B12" s="145" t="s">
        <v>60</v>
      </c>
      <c r="C12" s="144" t="s">
        <v>60</v>
      </c>
      <c r="D12" s="144" t="s">
        <v>60</v>
      </c>
      <c r="E12" s="164" t="s">
        <v>62</v>
      </c>
      <c r="F12" s="144" t="s">
        <v>60</v>
      </c>
      <c r="G12" s="144" t="s">
        <v>60</v>
      </c>
      <c r="H12" s="166" t="s">
        <v>61</v>
      </c>
      <c r="I12" s="145" t="s">
        <v>60</v>
      </c>
      <c r="J12" s="145" t="s">
        <v>60</v>
      </c>
      <c r="K12" s="166" t="s">
        <v>61</v>
      </c>
      <c r="L12" s="145" t="s">
        <v>60</v>
      </c>
      <c r="M12" s="166" t="s">
        <v>61</v>
      </c>
      <c r="N12" s="144" t="s">
        <v>60</v>
      </c>
      <c r="O12" s="144" t="s">
        <v>60</v>
      </c>
      <c r="P12" s="144" t="s">
        <v>60</v>
      </c>
      <c r="Q12" s="145" t="s">
        <v>60</v>
      </c>
      <c r="R12" s="156" t="s">
        <v>40</v>
      </c>
      <c r="S12" s="86"/>
    </row>
    <row r="13" spans="1:19" ht="23" customHeight="1" thickBot="1" x14ac:dyDescent="0.3">
      <c r="A13" s="146" t="s">
        <v>77</v>
      </c>
      <c r="B13" s="166" t="s">
        <v>61</v>
      </c>
      <c r="C13" s="144" t="s">
        <v>60</v>
      </c>
      <c r="D13" s="166" t="s">
        <v>61</v>
      </c>
      <c r="E13" s="166" t="s">
        <v>61</v>
      </c>
      <c r="F13" s="166" t="s">
        <v>61</v>
      </c>
      <c r="G13" s="166" t="s">
        <v>61</v>
      </c>
      <c r="H13" s="166" t="s">
        <v>61</v>
      </c>
      <c r="I13" s="165" t="s">
        <v>62</v>
      </c>
      <c r="J13" s="145" t="s">
        <v>60</v>
      </c>
      <c r="K13" s="166" t="s">
        <v>61</v>
      </c>
      <c r="L13" s="145" t="s">
        <v>60</v>
      </c>
      <c r="M13" s="144" t="s">
        <v>60</v>
      </c>
      <c r="N13" s="144" t="s">
        <v>60</v>
      </c>
      <c r="O13" s="166" t="s">
        <v>61</v>
      </c>
      <c r="P13" s="166" t="s">
        <v>61</v>
      </c>
      <c r="Q13" s="145" t="s">
        <v>60</v>
      </c>
      <c r="R13" s="163" t="s">
        <v>187</v>
      </c>
      <c r="S13" s="86"/>
    </row>
    <row r="14" spans="1:19" ht="19" customHeight="1" thickBot="1" x14ac:dyDescent="0.3">
      <c r="A14" s="146" t="s">
        <v>78</v>
      </c>
      <c r="B14" s="145" t="s">
        <v>60</v>
      </c>
      <c r="C14" s="166" t="s">
        <v>61</v>
      </c>
      <c r="D14" s="145" t="s">
        <v>60</v>
      </c>
      <c r="E14" s="164" t="s">
        <v>62</v>
      </c>
      <c r="F14" s="144" t="s">
        <v>60</v>
      </c>
      <c r="G14" s="166" t="s">
        <v>61</v>
      </c>
      <c r="H14" s="166" t="s">
        <v>61</v>
      </c>
      <c r="I14" s="165" t="s">
        <v>62</v>
      </c>
      <c r="J14" s="145" t="s">
        <v>60</v>
      </c>
      <c r="K14" s="166" t="s">
        <v>61</v>
      </c>
      <c r="L14" s="145" t="s">
        <v>60</v>
      </c>
      <c r="M14" s="166" t="s">
        <v>61</v>
      </c>
      <c r="N14" s="166" t="s">
        <v>61</v>
      </c>
      <c r="O14" s="144" t="s">
        <v>60</v>
      </c>
      <c r="P14" s="166" t="s">
        <v>61</v>
      </c>
      <c r="Q14" s="145" t="s">
        <v>60</v>
      </c>
      <c r="R14" s="163" t="s">
        <v>187</v>
      </c>
      <c r="S14" s="86"/>
    </row>
    <row r="15" spans="1:19" ht="19" customHeight="1" thickBot="1" x14ac:dyDescent="0.3">
      <c r="A15" s="146" t="s">
        <v>79</v>
      </c>
      <c r="B15" s="145" t="s">
        <v>60</v>
      </c>
      <c r="C15" s="144" t="s">
        <v>60</v>
      </c>
      <c r="D15" s="145" t="s">
        <v>60</v>
      </c>
      <c r="E15" s="164" t="s">
        <v>62</v>
      </c>
      <c r="F15" s="144" t="s">
        <v>60</v>
      </c>
      <c r="G15" s="166" t="s">
        <v>61</v>
      </c>
      <c r="H15" s="166" t="s">
        <v>61</v>
      </c>
      <c r="I15" s="165" t="s">
        <v>62</v>
      </c>
      <c r="J15" s="145" t="s">
        <v>60</v>
      </c>
      <c r="K15" s="166" t="s">
        <v>61</v>
      </c>
      <c r="L15" s="145" t="s">
        <v>60</v>
      </c>
      <c r="M15" s="166" t="s">
        <v>61</v>
      </c>
      <c r="N15" s="144" t="s">
        <v>60</v>
      </c>
      <c r="O15" s="144" t="s">
        <v>60</v>
      </c>
      <c r="P15" s="144" t="s">
        <v>60</v>
      </c>
      <c r="Q15" s="145" t="s">
        <v>60</v>
      </c>
      <c r="R15" s="163" t="s">
        <v>187</v>
      </c>
      <c r="S15" s="86"/>
    </row>
    <row r="16" spans="1:19" ht="19" customHeight="1" thickBot="1" x14ac:dyDescent="0.3">
      <c r="A16" s="147" t="s">
        <v>80</v>
      </c>
      <c r="B16" s="144" t="s">
        <v>60</v>
      </c>
      <c r="C16" s="164" t="s">
        <v>62</v>
      </c>
      <c r="D16" s="144" t="s">
        <v>60</v>
      </c>
      <c r="E16" s="164" t="s">
        <v>62</v>
      </c>
      <c r="F16" s="144" t="s">
        <v>60</v>
      </c>
      <c r="G16" s="144" t="s">
        <v>60</v>
      </c>
      <c r="H16" s="166" t="s">
        <v>61</v>
      </c>
      <c r="I16" s="164" t="s">
        <v>62</v>
      </c>
      <c r="J16" s="144" t="s">
        <v>60</v>
      </c>
      <c r="K16" s="166" t="s">
        <v>61</v>
      </c>
      <c r="L16" s="144" t="s">
        <v>60</v>
      </c>
      <c r="M16" s="166" t="s">
        <v>61</v>
      </c>
      <c r="N16" s="166" t="s">
        <v>61</v>
      </c>
      <c r="O16" s="166" t="s">
        <v>61</v>
      </c>
      <c r="P16" s="144" t="s">
        <v>60</v>
      </c>
      <c r="Q16" s="144" t="s">
        <v>60</v>
      </c>
      <c r="R16" s="163" t="s">
        <v>187</v>
      </c>
      <c r="S16" s="86"/>
    </row>
    <row r="17" spans="1:19" ht="19" customHeight="1" thickBot="1" x14ac:dyDescent="0.3">
      <c r="A17" s="146" t="s">
        <v>81</v>
      </c>
      <c r="B17" s="145" t="s">
        <v>60</v>
      </c>
      <c r="C17" s="166" t="s">
        <v>61</v>
      </c>
      <c r="D17" s="145" t="s">
        <v>60</v>
      </c>
      <c r="E17" s="164" t="s">
        <v>62</v>
      </c>
      <c r="F17" s="144" t="s">
        <v>60</v>
      </c>
      <c r="G17" s="166" t="s">
        <v>61</v>
      </c>
      <c r="H17" s="166" t="s">
        <v>61</v>
      </c>
      <c r="I17" s="144" t="s">
        <v>60</v>
      </c>
      <c r="J17" s="145" t="s">
        <v>60</v>
      </c>
      <c r="K17" s="166" t="s">
        <v>61</v>
      </c>
      <c r="L17" s="145" t="s">
        <v>60</v>
      </c>
      <c r="M17" s="166" t="s">
        <v>61</v>
      </c>
      <c r="N17" s="166" t="s">
        <v>61</v>
      </c>
      <c r="O17" s="144" t="s">
        <v>60</v>
      </c>
      <c r="P17" s="144" t="s">
        <v>60</v>
      </c>
      <c r="Q17" s="145" t="s">
        <v>60</v>
      </c>
      <c r="R17" s="163" t="s">
        <v>187</v>
      </c>
      <c r="S17" s="86"/>
    </row>
    <row r="18" spans="1:19" ht="19" customHeight="1" thickBot="1" x14ac:dyDescent="0.3">
      <c r="A18" s="146" t="s">
        <v>82</v>
      </c>
      <c r="B18" s="145" t="s">
        <v>60</v>
      </c>
      <c r="C18" s="144" t="s">
        <v>60</v>
      </c>
      <c r="D18" s="145" t="s">
        <v>60</v>
      </c>
      <c r="E18" s="164" t="s">
        <v>62</v>
      </c>
      <c r="F18" s="144" t="s">
        <v>60</v>
      </c>
      <c r="G18" s="144" t="s">
        <v>60</v>
      </c>
      <c r="H18" s="166" t="s">
        <v>61</v>
      </c>
      <c r="I18" s="165" t="s">
        <v>62</v>
      </c>
      <c r="J18" s="145" t="s">
        <v>60</v>
      </c>
      <c r="K18" s="166" t="s">
        <v>61</v>
      </c>
      <c r="L18" s="145" t="s">
        <v>60</v>
      </c>
      <c r="M18" s="166" t="s">
        <v>61</v>
      </c>
      <c r="N18" s="144" t="s">
        <v>60</v>
      </c>
      <c r="O18" s="144" t="s">
        <v>60</v>
      </c>
      <c r="P18" s="166" t="s">
        <v>61</v>
      </c>
      <c r="Q18" s="145" t="s">
        <v>60</v>
      </c>
      <c r="R18" s="163" t="s">
        <v>187</v>
      </c>
      <c r="S18" s="86"/>
    </row>
    <row r="19" spans="1:19" ht="19" customHeight="1" thickBot="1" x14ac:dyDescent="0.3">
      <c r="A19" s="146" t="s">
        <v>84</v>
      </c>
      <c r="B19" s="145" t="s">
        <v>60</v>
      </c>
      <c r="C19" s="144" t="s">
        <v>60</v>
      </c>
      <c r="D19" s="145" t="s">
        <v>60</v>
      </c>
      <c r="E19" s="164" t="s">
        <v>62</v>
      </c>
      <c r="F19" s="144" t="s">
        <v>60</v>
      </c>
      <c r="G19" s="166" t="s">
        <v>61</v>
      </c>
      <c r="H19" s="166" t="s">
        <v>61</v>
      </c>
      <c r="I19" s="165" t="s">
        <v>62</v>
      </c>
      <c r="J19" s="145" t="s">
        <v>60</v>
      </c>
      <c r="K19" s="166" t="s">
        <v>61</v>
      </c>
      <c r="L19" s="145" t="s">
        <v>60</v>
      </c>
      <c r="M19" s="166" t="s">
        <v>61</v>
      </c>
      <c r="N19" s="166" t="s">
        <v>61</v>
      </c>
      <c r="O19" s="144" t="s">
        <v>60</v>
      </c>
      <c r="P19" s="144" t="s">
        <v>60</v>
      </c>
      <c r="Q19" s="145" t="s">
        <v>60</v>
      </c>
      <c r="R19" s="156" t="s">
        <v>40</v>
      </c>
      <c r="S19" s="86"/>
    </row>
    <row r="20" spans="1:19" ht="19" customHeight="1" thickBot="1" x14ac:dyDescent="0.3">
      <c r="A20" s="147" t="s">
        <v>83</v>
      </c>
      <c r="B20" s="144" t="s">
        <v>60</v>
      </c>
      <c r="C20" s="164" t="s">
        <v>62</v>
      </c>
      <c r="D20" s="144" t="s">
        <v>60</v>
      </c>
      <c r="E20" s="144" t="s">
        <v>60</v>
      </c>
      <c r="F20" s="144" t="s">
        <v>60</v>
      </c>
      <c r="G20" s="144" t="s">
        <v>60</v>
      </c>
      <c r="H20" s="166" t="s">
        <v>61</v>
      </c>
      <c r="I20" s="164" t="s">
        <v>62</v>
      </c>
      <c r="J20" s="144" t="s">
        <v>60</v>
      </c>
      <c r="K20" s="166" t="s">
        <v>61</v>
      </c>
      <c r="L20" s="145" t="s">
        <v>60</v>
      </c>
      <c r="M20" s="144" t="s">
        <v>60</v>
      </c>
      <c r="N20" s="144" t="s">
        <v>60</v>
      </c>
      <c r="O20" s="144" t="s">
        <v>60</v>
      </c>
      <c r="P20" s="144" t="s">
        <v>60</v>
      </c>
      <c r="Q20" s="144" t="s">
        <v>60</v>
      </c>
      <c r="R20" s="157" t="s">
        <v>40</v>
      </c>
      <c r="S20" s="86"/>
    </row>
    <row r="21" spans="1:19" ht="19" customHeight="1" thickBot="1" x14ac:dyDescent="0.3">
      <c r="A21" s="146" t="s">
        <v>85</v>
      </c>
      <c r="B21" s="145" t="s">
        <v>60</v>
      </c>
      <c r="C21" s="165" t="s">
        <v>62</v>
      </c>
      <c r="D21" s="166" t="s">
        <v>61</v>
      </c>
      <c r="E21" s="164" t="s">
        <v>62</v>
      </c>
      <c r="F21" s="144" t="s">
        <v>60</v>
      </c>
      <c r="G21" s="166" t="s">
        <v>61</v>
      </c>
      <c r="H21" s="166" t="s">
        <v>61</v>
      </c>
      <c r="I21" s="144" t="s">
        <v>60</v>
      </c>
      <c r="J21" s="145" t="s">
        <v>60</v>
      </c>
      <c r="K21" s="166" t="s">
        <v>61</v>
      </c>
      <c r="L21" s="145" t="s">
        <v>60</v>
      </c>
      <c r="M21" s="166" t="s">
        <v>61</v>
      </c>
      <c r="N21" s="166" t="s">
        <v>61</v>
      </c>
      <c r="O21" s="144" t="s">
        <v>60</v>
      </c>
      <c r="P21" s="144" t="s">
        <v>60</v>
      </c>
      <c r="Q21" s="145" t="s">
        <v>60</v>
      </c>
      <c r="R21" s="163" t="s">
        <v>187</v>
      </c>
      <c r="S21" s="86"/>
    </row>
    <row r="22" spans="1:19" ht="19" customHeight="1" thickBot="1" x14ac:dyDescent="0.3">
      <c r="A22" s="146" t="s">
        <v>86</v>
      </c>
      <c r="B22" s="145" t="s">
        <v>60</v>
      </c>
      <c r="C22" s="145" t="s">
        <v>60</v>
      </c>
      <c r="D22" s="145" t="s">
        <v>60</v>
      </c>
      <c r="E22" s="164" t="s">
        <v>62</v>
      </c>
      <c r="F22" s="166" t="s">
        <v>61</v>
      </c>
      <c r="G22" s="144" t="s">
        <v>60</v>
      </c>
      <c r="H22" s="166" t="s">
        <v>61</v>
      </c>
      <c r="I22" s="144" t="s">
        <v>60</v>
      </c>
      <c r="J22" s="145" t="s">
        <v>60</v>
      </c>
      <c r="K22" s="166" t="s">
        <v>61</v>
      </c>
      <c r="L22" s="145" t="s">
        <v>60</v>
      </c>
      <c r="M22" s="144" t="s">
        <v>60</v>
      </c>
      <c r="N22" s="144" t="s">
        <v>60</v>
      </c>
      <c r="O22" s="144" t="s">
        <v>60</v>
      </c>
      <c r="P22" s="144" t="s">
        <v>60</v>
      </c>
      <c r="Q22" s="145" t="s">
        <v>60</v>
      </c>
      <c r="R22" s="156" t="s">
        <v>40</v>
      </c>
      <c r="S22" s="86"/>
    </row>
    <row r="23" spans="1:19" ht="19" customHeight="1" thickBot="1" x14ac:dyDescent="0.3">
      <c r="A23" s="14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8"/>
      <c r="S23" s="86"/>
    </row>
    <row r="24" spans="1:19" ht="19" customHeight="1" thickBot="1" x14ac:dyDescent="0.3">
      <c r="A24" s="153" t="s">
        <v>229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86"/>
    </row>
    <row r="25" spans="1:19" ht="19" customHeight="1" thickBot="1" x14ac:dyDescent="0.3">
      <c r="A25" s="147" t="s">
        <v>75</v>
      </c>
      <c r="B25" s="144" t="s">
        <v>60</v>
      </c>
      <c r="C25" s="164" t="s">
        <v>62</v>
      </c>
      <c r="D25" s="144" t="s">
        <v>60</v>
      </c>
      <c r="E25" s="164" t="s">
        <v>62</v>
      </c>
      <c r="F25" s="144" t="s">
        <v>60</v>
      </c>
      <c r="G25" s="144" t="s">
        <v>60</v>
      </c>
      <c r="H25" s="166" t="s">
        <v>61</v>
      </c>
      <c r="I25" s="144" t="s">
        <v>60</v>
      </c>
      <c r="J25" s="166" t="s">
        <v>61</v>
      </c>
      <c r="K25" s="166" t="s">
        <v>61</v>
      </c>
      <c r="L25" s="144" t="s">
        <v>60</v>
      </c>
      <c r="M25" s="166" t="s">
        <v>61</v>
      </c>
      <c r="N25" s="166" t="s">
        <v>61</v>
      </c>
      <c r="O25" s="166" t="s">
        <v>61</v>
      </c>
      <c r="P25" s="166" t="s">
        <v>61</v>
      </c>
      <c r="Q25" s="144" t="s">
        <v>60</v>
      </c>
      <c r="R25" s="163" t="s">
        <v>187</v>
      </c>
      <c r="S25" s="86"/>
    </row>
    <row r="26" spans="1:19" ht="19" customHeight="1" thickBot="1" x14ac:dyDescent="0.3">
      <c r="A26" s="147" t="s">
        <v>197</v>
      </c>
      <c r="B26" s="144" t="s">
        <v>60</v>
      </c>
      <c r="C26" s="164" t="s">
        <v>62</v>
      </c>
      <c r="D26" s="144" t="s">
        <v>60</v>
      </c>
      <c r="E26" s="144" t="s">
        <v>60</v>
      </c>
      <c r="F26" s="144" t="s">
        <v>60</v>
      </c>
      <c r="G26" s="144" t="s">
        <v>60</v>
      </c>
      <c r="H26" s="166" t="s">
        <v>61</v>
      </c>
      <c r="I26" s="164" t="s">
        <v>196</v>
      </c>
      <c r="J26" s="144" t="s">
        <v>60</v>
      </c>
      <c r="K26" s="166" t="s">
        <v>61</v>
      </c>
      <c r="L26" s="144" t="s">
        <v>60</v>
      </c>
      <c r="M26" s="144" t="s">
        <v>60</v>
      </c>
      <c r="N26" s="144" t="s">
        <v>60</v>
      </c>
      <c r="O26" s="144" t="s">
        <v>60</v>
      </c>
      <c r="P26" s="166" t="s">
        <v>61</v>
      </c>
      <c r="Q26" s="144" t="s">
        <v>60</v>
      </c>
      <c r="R26" s="163" t="s">
        <v>187</v>
      </c>
      <c r="S26" s="86"/>
    </row>
    <row r="27" spans="1:19" ht="19" customHeight="1" thickBot="1" x14ac:dyDescent="0.3">
      <c r="A27" s="147" t="s">
        <v>198</v>
      </c>
      <c r="B27" s="144" t="s">
        <v>60</v>
      </c>
      <c r="C27" s="144" t="s">
        <v>60</v>
      </c>
      <c r="D27" s="144" t="s">
        <v>60</v>
      </c>
      <c r="E27" s="144" t="s">
        <v>60</v>
      </c>
      <c r="F27" s="144" t="s">
        <v>60</v>
      </c>
      <c r="G27" s="166" t="s">
        <v>61</v>
      </c>
      <c r="H27" s="166" t="s">
        <v>61</v>
      </c>
      <c r="I27" s="144" t="s">
        <v>60</v>
      </c>
      <c r="J27" s="144" t="s">
        <v>60</v>
      </c>
      <c r="K27" s="166" t="s">
        <v>61</v>
      </c>
      <c r="L27" s="166" t="s">
        <v>61</v>
      </c>
      <c r="M27" s="166" t="s">
        <v>61</v>
      </c>
      <c r="N27" s="144" t="s">
        <v>60</v>
      </c>
      <c r="O27" s="166" t="s">
        <v>61</v>
      </c>
      <c r="P27" s="166" t="s">
        <v>61</v>
      </c>
      <c r="Q27" s="144" t="s">
        <v>60</v>
      </c>
      <c r="R27" s="163" t="s">
        <v>187</v>
      </c>
      <c r="S27" s="86"/>
    </row>
    <row r="28" spans="1:19" ht="19" customHeight="1" thickBot="1" x14ac:dyDescent="0.25">
      <c r="A28" s="147" t="s">
        <v>199</v>
      </c>
      <c r="B28" s="144" t="s">
        <v>60</v>
      </c>
      <c r="C28" s="166" t="s">
        <v>61</v>
      </c>
      <c r="D28" s="144" t="s">
        <v>60</v>
      </c>
      <c r="E28" s="164" t="s">
        <v>62</v>
      </c>
      <c r="F28" s="144" t="s">
        <v>60</v>
      </c>
      <c r="G28" s="144" t="s">
        <v>60</v>
      </c>
      <c r="H28" s="166" t="s">
        <v>61</v>
      </c>
      <c r="I28" s="164" t="s">
        <v>196</v>
      </c>
      <c r="J28" s="166" t="s">
        <v>61</v>
      </c>
      <c r="K28" s="166" t="s">
        <v>61</v>
      </c>
      <c r="L28" s="144" t="s">
        <v>60</v>
      </c>
      <c r="M28" s="166" t="s">
        <v>61</v>
      </c>
      <c r="N28" s="166" t="s">
        <v>61</v>
      </c>
      <c r="O28" s="166" t="s">
        <v>61</v>
      </c>
      <c r="P28" s="144" t="s">
        <v>60</v>
      </c>
      <c r="Q28" s="144" t="s">
        <v>60</v>
      </c>
      <c r="R28" s="163" t="s">
        <v>187</v>
      </c>
    </row>
    <row r="29" spans="1:19" ht="19" customHeight="1" thickBot="1" x14ac:dyDescent="0.25"/>
    <row r="30" spans="1:19" s="11" customFormat="1" ht="109" customHeight="1" thickBot="1" x14ac:dyDescent="0.3">
      <c r="A30" s="14" t="s">
        <v>64</v>
      </c>
      <c r="B30" s="15" t="s">
        <v>44</v>
      </c>
      <c r="C30" s="17" t="s">
        <v>45</v>
      </c>
      <c r="D30" s="16" t="s">
        <v>46</v>
      </c>
      <c r="E30" s="17" t="s">
        <v>47</v>
      </c>
      <c r="F30" s="16" t="s">
        <v>48</v>
      </c>
      <c r="G30" s="16" t="s">
        <v>49</v>
      </c>
      <c r="H30" s="17" t="s">
        <v>50</v>
      </c>
      <c r="I30" s="16" t="s">
        <v>51</v>
      </c>
      <c r="J30" s="17" t="s">
        <v>52</v>
      </c>
      <c r="K30" s="16" t="s">
        <v>53</v>
      </c>
      <c r="L30" s="17" t="s">
        <v>56</v>
      </c>
      <c r="M30" s="16" t="s">
        <v>57</v>
      </c>
      <c r="N30" s="16" t="s">
        <v>59</v>
      </c>
      <c r="O30" s="94" t="s">
        <v>14</v>
      </c>
    </row>
    <row r="31" spans="1:19" ht="19" customHeight="1" thickBot="1" x14ac:dyDescent="0.25">
      <c r="A31" s="150" t="s">
        <v>200</v>
      </c>
      <c r="B31" s="144" t="s">
        <v>60</v>
      </c>
      <c r="C31" s="144" t="s">
        <v>60</v>
      </c>
      <c r="D31" s="144" t="s">
        <v>60</v>
      </c>
      <c r="E31" s="144" t="s">
        <v>60</v>
      </c>
      <c r="F31" s="144" t="s">
        <v>60</v>
      </c>
      <c r="G31" s="144" t="s">
        <v>60</v>
      </c>
      <c r="H31" s="166" t="s">
        <v>61</v>
      </c>
      <c r="I31" s="144" t="s">
        <v>60</v>
      </c>
      <c r="J31" s="144" t="s">
        <v>60</v>
      </c>
      <c r="K31" s="166" t="s">
        <v>61</v>
      </c>
      <c r="L31" s="144" t="s">
        <v>60</v>
      </c>
      <c r="M31" s="166" t="s">
        <v>61</v>
      </c>
      <c r="N31" s="144" t="s">
        <v>60</v>
      </c>
      <c r="O31" s="158" t="s">
        <v>201</v>
      </c>
    </row>
    <row r="32" spans="1:19" ht="19" customHeight="1" thickBot="1" x14ac:dyDescent="0.25">
      <c r="A32" s="151" t="s">
        <v>202</v>
      </c>
      <c r="B32" s="144" t="s">
        <v>60</v>
      </c>
      <c r="C32" s="166" t="s">
        <v>61</v>
      </c>
      <c r="D32" s="166" t="s">
        <v>61</v>
      </c>
      <c r="E32" s="164" t="s">
        <v>62</v>
      </c>
      <c r="F32" s="166" t="s">
        <v>61</v>
      </c>
      <c r="G32" s="144" t="s">
        <v>60</v>
      </c>
      <c r="H32" s="166" t="s">
        <v>61</v>
      </c>
      <c r="I32" s="168" t="s">
        <v>62</v>
      </c>
      <c r="J32" s="166" t="s">
        <v>61</v>
      </c>
      <c r="K32" s="166" t="s">
        <v>61</v>
      </c>
      <c r="L32" s="166" t="s">
        <v>61</v>
      </c>
      <c r="M32" s="144" t="s">
        <v>60</v>
      </c>
      <c r="N32" s="144" t="s">
        <v>60</v>
      </c>
      <c r="O32" s="163" t="s">
        <v>187</v>
      </c>
    </row>
    <row r="33" spans="1:15" ht="19" customHeight="1" thickBot="1" x14ac:dyDescent="0.25">
      <c r="A33" s="151" t="s">
        <v>203</v>
      </c>
      <c r="B33" s="144" t="s">
        <v>60</v>
      </c>
      <c r="C33" s="166" t="s">
        <v>61</v>
      </c>
      <c r="D33" s="144" t="s">
        <v>60</v>
      </c>
      <c r="E33" s="164" t="s">
        <v>62</v>
      </c>
      <c r="F33" s="144" t="s">
        <v>60</v>
      </c>
      <c r="G33" s="144" t="s">
        <v>60</v>
      </c>
      <c r="H33" s="166" t="s">
        <v>61</v>
      </c>
      <c r="I33" s="168" t="s">
        <v>62</v>
      </c>
      <c r="J33" s="144" t="s">
        <v>60</v>
      </c>
      <c r="K33" s="166" t="s">
        <v>61</v>
      </c>
      <c r="L33" s="166" t="s">
        <v>61</v>
      </c>
      <c r="M33" s="166" t="s">
        <v>61</v>
      </c>
      <c r="N33" s="144" t="s">
        <v>60</v>
      </c>
      <c r="O33" s="163" t="s">
        <v>187</v>
      </c>
    </row>
    <row r="34" spans="1:15" ht="19" customHeight="1" thickBot="1" x14ac:dyDescent="0.25">
      <c r="A34" s="151" t="s">
        <v>204</v>
      </c>
      <c r="B34" s="166" t="s">
        <v>61</v>
      </c>
      <c r="C34" s="166" t="s">
        <v>61</v>
      </c>
      <c r="D34" s="166" t="s">
        <v>61</v>
      </c>
      <c r="E34" s="166" t="s">
        <v>61</v>
      </c>
      <c r="F34" s="166" t="s">
        <v>61</v>
      </c>
      <c r="G34" s="166" t="s">
        <v>61</v>
      </c>
      <c r="H34" s="166" t="s">
        <v>61</v>
      </c>
      <c r="I34" s="168" t="s">
        <v>62</v>
      </c>
      <c r="J34" s="168" t="s">
        <v>62</v>
      </c>
      <c r="K34" s="166" t="s">
        <v>61</v>
      </c>
      <c r="L34" s="144" t="s">
        <v>60</v>
      </c>
      <c r="M34" s="144" t="s">
        <v>60</v>
      </c>
      <c r="N34" s="144" t="s">
        <v>60</v>
      </c>
      <c r="O34" s="163" t="s">
        <v>187</v>
      </c>
    </row>
    <row r="35" spans="1:15" ht="19" customHeight="1" thickBot="1" x14ac:dyDescent="0.25">
      <c r="A35" s="151" t="s">
        <v>205</v>
      </c>
      <c r="B35" s="144" t="s">
        <v>60</v>
      </c>
      <c r="C35" s="164" t="s">
        <v>62</v>
      </c>
      <c r="D35" s="144" t="s">
        <v>60</v>
      </c>
      <c r="E35" s="164" t="s">
        <v>62</v>
      </c>
      <c r="F35" s="144" t="s">
        <v>60</v>
      </c>
      <c r="G35" s="166" t="s">
        <v>61</v>
      </c>
      <c r="H35" s="166" t="s">
        <v>61</v>
      </c>
      <c r="I35" s="168" t="s">
        <v>62</v>
      </c>
      <c r="J35" s="166" t="s">
        <v>61</v>
      </c>
      <c r="K35" s="166" t="s">
        <v>61</v>
      </c>
      <c r="L35" s="166" t="s">
        <v>61</v>
      </c>
      <c r="M35" s="166" t="s">
        <v>61</v>
      </c>
      <c r="N35" s="144" t="s">
        <v>60</v>
      </c>
      <c r="O35" s="163" t="s">
        <v>187</v>
      </c>
    </row>
    <row r="36" spans="1:15" ht="19" customHeight="1" thickBot="1" x14ac:dyDescent="0.25">
      <c r="A36" s="150" t="s">
        <v>220</v>
      </c>
      <c r="B36" s="166" t="s">
        <v>61</v>
      </c>
      <c r="C36" s="164" t="s">
        <v>62</v>
      </c>
      <c r="D36" s="144" t="s">
        <v>60</v>
      </c>
      <c r="E36" s="168" t="s">
        <v>62</v>
      </c>
      <c r="F36" s="144" t="s">
        <v>60</v>
      </c>
      <c r="G36" s="166" t="s">
        <v>61</v>
      </c>
      <c r="H36" s="166" t="s">
        <v>61</v>
      </c>
      <c r="I36" s="168" t="s">
        <v>62</v>
      </c>
      <c r="J36" s="166" t="s">
        <v>61</v>
      </c>
      <c r="K36" s="166" t="s">
        <v>61</v>
      </c>
      <c r="L36" s="166" t="s">
        <v>61</v>
      </c>
      <c r="M36" s="166" t="s">
        <v>61</v>
      </c>
      <c r="N36" s="144" t="s">
        <v>60</v>
      </c>
      <c r="O36" s="163" t="s">
        <v>187</v>
      </c>
    </row>
    <row r="37" spans="1:15" ht="19" customHeight="1" thickBot="1" x14ac:dyDescent="0.25">
      <c r="A37" s="150" t="s">
        <v>206</v>
      </c>
      <c r="B37" s="166" t="s">
        <v>61</v>
      </c>
      <c r="C37" s="167" t="s">
        <v>61</v>
      </c>
      <c r="D37" s="166" t="s">
        <v>61</v>
      </c>
      <c r="E37" s="166" t="s">
        <v>61</v>
      </c>
      <c r="F37" s="166" t="s">
        <v>61</v>
      </c>
      <c r="G37" s="166" t="s">
        <v>61</v>
      </c>
      <c r="H37" s="166" t="s">
        <v>61</v>
      </c>
      <c r="I37" s="168" t="s">
        <v>62</v>
      </c>
      <c r="J37" s="166" t="s">
        <v>61</v>
      </c>
      <c r="K37" s="166" t="s">
        <v>61</v>
      </c>
      <c r="L37" s="166" t="s">
        <v>61</v>
      </c>
      <c r="M37" s="166" t="s">
        <v>61</v>
      </c>
      <c r="N37" s="166" t="s">
        <v>61</v>
      </c>
      <c r="O37" s="163" t="s">
        <v>187</v>
      </c>
    </row>
    <row r="38" spans="1:15" ht="19" customHeight="1" thickBot="1" x14ac:dyDescent="0.25">
      <c r="A38" s="151" t="s">
        <v>207</v>
      </c>
      <c r="B38" s="166" t="s">
        <v>61</v>
      </c>
      <c r="C38" s="166" t="s">
        <v>61</v>
      </c>
      <c r="D38" s="166" t="s">
        <v>61</v>
      </c>
      <c r="E38" s="166" t="s">
        <v>61</v>
      </c>
      <c r="F38" s="166" t="s">
        <v>61</v>
      </c>
      <c r="G38" s="166" t="s">
        <v>61</v>
      </c>
      <c r="H38" s="166" t="s">
        <v>61</v>
      </c>
      <c r="I38" s="168" t="s">
        <v>62</v>
      </c>
      <c r="J38" s="166" t="s">
        <v>61</v>
      </c>
      <c r="K38" s="166" t="s">
        <v>61</v>
      </c>
      <c r="L38" s="166" t="s">
        <v>61</v>
      </c>
      <c r="M38" s="166" t="s">
        <v>61</v>
      </c>
      <c r="N38" s="144" t="s">
        <v>60</v>
      </c>
      <c r="O38" s="163" t="s">
        <v>187</v>
      </c>
    </row>
    <row r="39" spans="1:15" ht="19" customHeight="1" thickBot="1" x14ac:dyDescent="0.25">
      <c r="A39" s="150" t="s">
        <v>221</v>
      </c>
      <c r="B39" s="166" t="s">
        <v>61</v>
      </c>
      <c r="C39" s="164" t="s">
        <v>62</v>
      </c>
      <c r="D39" s="144" t="s">
        <v>60</v>
      </c>
      <c r="E39" s="164" t="s">
        <v>62</v>
      </c>
      <c r="F39" s="166" t="s">
        <v>61</v>
      </c>
      <c r="G39" s="166" t="s">
        <v>61</v>
      </c>
      <c r="H39" s="166" t="s">
        <v>61</v>
      </c>
      <c r="I39" s="168" t="s">
        <v>62</v>
      </c>
      <c r="J39" s="166" t="s">
        <v>61</v>
      </c>
      <c r="K39" s="166" t="s">
        <v>61</v>
      </c>
      <c r="L39" s="166" t="s">
        <v>61</v>
      </c>
      <c r="M39" s="144" t="s">
        <v>60</v>
      </c>
      <c r="N39" s="144" t="s">
        <v>60</v>
      </c>
      <c r="O39" s="163" t="s">
        <v>187</v>
      </c>
    </row>
    <row r="40" spans="1:15" ht="19" customHeight="1" thickBot="1" x14ac:dyDescent="0.25">
      <c r="A40" s="150" t="s">
        <v>222</v>
      </c>
      <c r="B40" s="144" t="s">
        <v>60</v>
      </c>
      <c r="C40" s="166" t="s">
        <v>61</v>
      </c>
      <c r="D40" s="144" t="s">
        <v>60</v>
      </c>
      <c r="E40" s="164" t="s">
        <v>62</v>
      </c>
      <c r="F40" s="166" t="s">
        <v>61</v>
      </c>
      <c r="G40" s="166" t="s">
        <v>61</v>
      </c>
      <c r="H40" s="144" t="s">
        <v>60</v>
      </c>
      <c r="I40" s="168" t="s">
        <v>62</v>
      </c>
      <c r="J40" s="144" t="s">
        <v>60</v>
      </c>
      <c r="K40" s="166" t="s">
        <v>61</v>
      </c>
      <c r="L40" s="144" t="s">
        <v>60</v>
      </c>
      <c r="M40" s="144" t="s">
        <v>60</v>
      </c>
      <c r="N40" s="144" t="s">
        <v>60</v>
      </c>
      <c r="O40" s="159" t="s">
        <v>208</v>
      </c>
    </row>
    <row r="41" spans="1:15" ht="19" customHeight="1" thickBot="1" x14ac:dyDescent="0.25">
      <c r="A41" s="150" t="s">
        <v>223</v>
      </c>
      <c r="B41" s="144" t="s">
        <v>60</v>
      </c>
      <c r="C41" s="144" t="s">
        <v>60</v>
      </c>
      <c r="D41" s="144" t="s">
        <v>60</v>
      </c>
      <c r="E41" s="144" t="s">
        <v>60</v>
      </c>
      <c r="F41" s="144" t="s">
        <v>60</v>
      </c>
      <c r="G41" s="144" t="s">
        <v>60</v>
      </c>
      <c r="H41" s="166" t="s">
        <v>61</v>
      </c>
      <c r="I41" s="144" t="s">
        <v>60</v>
      </c>
      <c r="J41" s="144" t="s">
        <v>60</v>
      </c>
      <c r="K41" s="166" t="s">
        <v>61</v>
      </c>
      <c r="L41" s="166" t="s">
        <v>61</v>
      </c>
      <c r="M41" s="166" t="s">
        <v>61</v>
      </c>
      <c r="N41" s="144" t="s">
        <v>60</v>
      </c>
      <c r="O41" s="163" t="s">
        <v>187</v>
      </c>
    </row>
    <row r="42" spans="1:15" ht="19" customHeight="1" thickBot="1" x14ac:dyDescent="0.25">
      <c r="A42" s="150" t="s">
        <v>224</v>
      </c>
      <c r="B42" s="144" t="s">
        <v>60</v>
      </c>
      <c r="C42" s="166" t="s">
        <v>61</v>
      </c>
      <c r="D42" s="144" t="s">
        <v>60</v>
      </c>
      <c r="E42" s="164" t="s">
        <v>62</v>
      </c>
      <c r="F42" s="144" t="s">
        <v>60</v>
      </c>
      <c r="G42" s="144" t="s">
        <v>60</v>
      </c>
      <c r="H42" s="166" t="s">
        <v>61</v>
      </c>
      <c r="I42" s="168" t="s">
        <v>62</v>
      </c>
      <c r="J42" s="144" t="s">
        <v>60</v>
      </c>
      <c r="K42" s="166" t="s">
        <v>61</v>
      </c>
      <c r="L42" s="144" t="s">
        <v>60</v>
      </c>
      <c r="M42" s="166" t="s">
        <v>61</v>
      </c>
      <c r="N42" s="144" t="s">
        <v>60</v>
      </c>
      <c r="O42" s="163" t="s">
        <v>187</v>
      </c>
    </row>
    <row r="43" spans="1:15" ht="19" customHeight="1" thickBot="1" x14ac:dyDescent="0.25">
      <c r="A43" s="150" t="s">
        <v>209</v>
      </c>
      <c r="B43" s="166" t="s">
        <v>61</v>
      </c>
      <c r="C43" s="166" t="s">
        <v>61</v>
      </c>
      <c r="D43" s="166" t="s">
        <v>61</v>
      </c>
      <c r="E43" s="166" t="s">
        <v>61</v>
      </c>
      <c r="F43" s="166" t="s">
        <v>61</v>
      </c>
      <c r="G43" s="166" t="s">
        <v>61</v>
      </c>
      <c r="H43" s="166" t="s">
        <v>61</v>
      </c>
      <c r="I43" s="166" t="s">
        <v>61</v>
      </c>
      <c r="J43" s="166" t="s">
        <v>61</v>
      </c>
      <c r="K43" s="166" t="s">
        <v>61</v>
      </c>
      <c r="L43" s="166" t="s">
        <v>61</v>
      </c>
      <c r="M43" s="166" t="s">
        <v>61</v>
      </c>
      <c r="N43" s="144" t="s">
        <v>60</v>
      </c>
      <c r="O43" s="163" t="s">
        <v>187</v>
      </c>
    </row>
    <row r="44" spans="1:15" ht="19" customHeight="1" thickBot="1" x14ac:dyDescent="0.25">
      <c r="A44" s="151" t="s">
        <v>210</v>
      </c>
      <c r="B44" s="144" t="s">
        <v>60</v>
      </c>
      <c r="C44" s="164" t="s">
        <v>62</v>
      </c>
      <c r="D44" s="144" t="s">
        <v>60</v>
      </c>
      <c r="E44" s="144" t="s">
        <v>60</v>
      </c>
      <c r="F44" s="166" t="s">
        <v>61</v>
      </c>
      <c r="G44" s="166" t="s">
        <v>61</v>
      </c>
      <c r="H44" s="166" t="s">
        <v>61</v>
      </c>
      <c r="I44" s="164" t="s">
        <v>62</v>
      </c>
      <c r="J44" s="144" t="s">
        <v>60</v>
      </c>
      <c r="K44" s="166" t="s">
        <v>61</v>
      </c>
      <c r="L44" s="144" t="s">
        <v>60</v>
      </c>
      <c r="M44" s="144" t="s">
        <v>60</v>
      </c>
      <c r="N44" s="144" t="s">
        <v>60</v>
      </c>
      <c r="O44" s="160" t="s">
        <v>211</v>
      </c>
    </row>
    <row r="45" spans="1:15" ht="19" customHeight="1" thickBot="1" x14ac:dyDescent="0.25">
      <c r="A45" s="151" t="s">
        <v>212</v>
      </c>
      <c r="B45" s="166" t="s">
        <v>61</v>
      </c>
      <c r="C45" s="166" t="s">
        <v>61</v>
      </c>
      <c r="D45" s="144" t="s">
        <v>60</v>
      </c>
      <c r="E45" s="164" t="s">
        <v>62</v>
      </c>
      <c r="F45" s="166" t="s">
        <v>61</v>
      </c>
      <c r="G45" s="144" t="s">
        <v>60</v>
      </c>
      <c r="H45" s="166" t="s">
        <v>61</v>
      </c>
      <c r="I45" s="164" t="s">
        <v>62</v>
      </c>
      <c r="J45" s="166" t="s">
        <v>61</v>
      </c>
      <c r="K45" s="166" t="s">
        <v>61</v>
      </c>
      <c r="L45" s="166" t="s">
        <v>61</v>
      </c>
      <c r="M45" s="144" t="s">
        <v>60</v>
      </c>
      <c r="N45" s="144" t="s">
        <v>60</v>
      </c>
      <c r="O45" s="163" t="s">
        <v>187</v>
      </c>
    </row>
    <row r="46" spans="1:15" ht="19" customHeight="1" thickBot="1" x14ac:dyDescent="0.25">
      <c r="A46" s="151" t="s">
        <v>213</v>
      </c>
      <c r="B46" s="144" t="s">
        <v>60</v>
      </c>
      <c r="C46" s="144" t="s">
        <v>60</v>
      </c>
      <c r="D46" s="144" t="s">
        <v>60</v>
      </c>
      <c r="E46" s="164" t="s">
        <v>62</v>
      </c>
      <c r="F46" s="144" t="s">
        <v>60</v>
      </c>
      <c r="G46" s="144" t="s">
        <v>60</v>
      </c>
      <c r="H46" s="144" t="s">
        <v>60</v>
      </c>
      <c r="I46" s="144" t="s">
        <v>60</v>
      </c>
      <c r="J46" s="144" t="s">
        <v>60</v>
      </c>
      <c r="K46" s="166" t="s">
        <v>61</v>
      </c>
      <c r="L46" s="144" t="s">
        <v>60</v>
      </c>
      <c r="M46" s="144" t="s">
        <v>60</v>
      </c>
      <c r="N46" s="144" t="s">
        <v>60</v>
      </c>
      <c r="O46" s="162" t="s">
        <v>214</v>
      </c>
    </row>
    <row r="47" spans="1:15" ht="19" customHeight="1" thickBot="1" x14ac:dyDescent="0.25">
      <c r="A47" s="151" t="s">
        <v>215</v>
      </c>
      <c r="B47" s="144" t="s">
        <v>60</v>
      </c>
      <c r="C47" s="166" t="s">
        <v>61</v>
      </c>
      <c r="D47" s="144" t="s">
        <v>60</v>
      </c>
      <c r="E47" s="144" t="s">
        <v>60</v>
      </c>
      <c r="F47" s="144" t="s">
        <v>60</v>
      </c>
      <c r="G47" s="144" t="s">
        <v>60</v>
      </c>
      <c r="H47" s="166" t="s">
        <v>61</v>
      </c>
      <c r="I47" s="164" t="s">
        <v>62</v>
      </c>
      <c r="J47" s="144" t="s">
        <v>60</v>
      </c>
      <c r="K47" s="166" t="s">
        <v>61</v>
      </c>
      <c r="L47" s="144" t="s">
        <v>60</v>
      </c>
      <c r="M47" s="144" t="s">
        <v>60</v>
      </c>
      <c r="N47" s="144" t="s">
        <v>60</v>
      </c>
      <c r="O47" s="163" t="s">
        <v>187</v>
      </c>
    </row>
    <row r="48" spans="1:15" ht="19" customHeight="1" thickBot="1" x14ac:dyDescent="0.25">
      <c r="A48" s="151" t="s">
        <v>216</v>
      </c>
      <c r="B48" s="144" t="s">
        <v>60</v>
      </c>
      <c r="C48" s="144" t="s">
        <v>60</v>
      </c>
      <c r="D48" s="144" t="s">
        <v>60</v>
      </c>
      <c r="E48" s="144" t="s">
        <v>60</v>
      </c>
      <c r="F48" s="144" t="s">
        <v>60</v>
      </c>
      <c r="G48" s="144" t="s">
        <v>60</v>
      </c>
      <c r="H48" s="144" t="s">
        <v>60</v>
      </c>
      <c r="I48" s="164" t="s">
        <v>62</v>
      </c>
      <c r="J48" s="144" t="s">
        <v>60</v>
      </c>
      <c r="K48" s="166" t="s">
        <v>61</v>
      </c>
      <c r="L48" s="144" t="s">
        <v>60</v>
      </c>
      <c r="M48" s="166" t="s">
        <v>61</v>
      </c>
      <c r="N48" s="166" t="s">
        <v>61</v>
      </c>
      <c r="O48" s="162" t="s">
        <v>214</v>
      </c>
    </row>
    <row r="49" spans="1:15" ht="19" customHeight="1" thickBot="1" x14ac:dyDescent="0.25">
      <c r="A49" s="152" t="s">
        <v>225</v>
      </c>
      <c r="B49" s="144" t="s">
        <v>60</v>
      </c>
      <c r="C49" s="164" t="s">
        <v>62</v>
      </c>
      <c r="D49" s="166" t="s">
        <v>61</v>
      </c>
      <c r="E49" s="164" t="s">
        <v>62</v>
      </c>
      <c r="F49" s="144" t="s">
        <v>60</v>
      </c>
      <c r="G49" s="144" t="s">
        <v>60</v>
      </c>
      <c r="H49" s="166" t="s">
        <v>61</v>
      </c>
      <c r="I49" s="164" t="s">
        <v>62</v>
      </c>
      <c r="J49" s="144" t="s">
        <v>60</v>
      </c>
      <c r="K49" s="166" t="s">
        <v>61</v>
      </c>
      <c r="L49" s="166" t="s">
        <v>61</v>
      </c>
      <c r="M49" s="166" t="s">
        <v>61</v>
      </c>
      <c r="N49" s="144" t="s">
        <v>60</v>
      </c>
      <c r="O49" s="163" t="s">
        <v>187</v>
      </c>
    </row>
    <row r="50" spans="1:15" ht="19" customHeight="1" thickBot="1" x14ac:dyDescent="0.25">
      <c r="A50" s="150" t="s">
        <v>226</v>
      </c>
      <c r="B50" s="144" t="s">
        <v>60</v>
      </c>
      <c r="C50" s="166" t="s">
        <v>61</v>
      </c>
      <c r="D50" s="144" t="s">
        <v>60</v>
      </c>
      <c r="E50" s="164" t="s">
        <v>62</v>
      </c>
      <c r="F50" s="144" t="s">
        <v>60</v>
      </c>
      <c r="G50" s="166" t="s">
        <v>61</v>
      </c>
      <c r="H50" s="166" t="s">
        <v>61</v>
      </c>
      <c r="I50" s="164" t="s">
        <v>62</v>
      </c>
      <c r="J50" s="144" t="s">
        <v>60</v>
      </c>
      <c r="K50" s="166" t="s">
        <v>61</v>
      </c>
      <c r="L50" s="166" t="s">
        <v>61</v>
      </c>
      <c r="M50" s="166" t="s">
        <v>61</v>
      </c>
      <c r="N50" s="144" t="s">
        <v>60</v>
      </c>
      <c r="O50" s="163" t="s">
        <v>187</v>
      </c>
    </row>
    <row r="51" spans="1:15" ht="19" customHeight="1" thickBot="1" x14ac:dyDescent="0.25">
      <c r="A51" s="151" t="s">
        <v>217</v>
      </c>
      <c r="B51" s="144" t="s">
        <v>60</v>
      </c>
      <c r="C51" s="166" t="s">
        <v>61</v>
      </c>
      <c r="D51" s="144" t="s">
        <v>60</v>
      </c>
      <c r="E51" s="164" t="s">
        <v>62</v>
      </c>
      <c r="F51" s="166" t="s">
        <v>61</v>
      </c>
      <c r="G51" s="166" t="s">
        <v>61</v>
      </c>
      <c r="H51" s="166" t="s">
        <v>61</v>
      </c>
      <c r="I51" s="164" t="s">
        <v>62</v>
      </c>
      <c r="J51" s="166" t="s">
        <v>61</v>
      </c>
      <c r="K51" s="166" t="s">
        <v>61</v>
      </c>
      <c r="L51" s="166" t="s">
        <v>61</v>
      </c>
      <c r="M51" s="166" t="s">
        <v>61</v>
      </c>
      <c r="N51" s="144" t="s">
        <v>60</v>
      </c>
      <c r="O51" s="163" t="s">
        <v>187</v>
      </c>
    </row>
    <row r="52" spans="1:15" ht="19" customHeight="1" thickBot="1" x14ac:dyDescent="0.25">
      <c r="A52" s="150" t="s">
        <v>227</v>
      </c>
      <c r="B52" s="144" t="s">
        <v>60</v>
      </c>
      <c r="C52" s="166" t="s">
        <v>61</v>
      </c>
      <c r="D52" s="144" t="s">
        <v>60</v>
      </c>
      <c r="E52" s="164" t="s">
        <v>62</v>
      </c>
      <c r="F52" s="144" t="s">
        <v>60</v>
      </c>
      <c r="G52" s="144" t="s">
        <v>60</v>
      </c>
      <c r="H52" s="166" t="s">
        <v>61</v>
      </c>
      <c r="I52" s="164" t="s">
        <v>62</v>
      </c>
      <c r="J52" s="166" t="s">
        <v>61</v>
      </c>
      <c r="K52" s="166" t="s">
        <v>61</v>
      </c>
      <c r="L52" s="166" t="s">
        <v>61</v>
      </c>
      <c r="M52" s="166" t="s">
        <v>61</v>
      </c>
      <c r="N52" s="144" t="s">
        <v>60</v>
      </c>
      <c r="O52" s="163" t="s">
        <v>187</v>
      </c>
    </row>
    <row r="53" spans="1:15" ht="19" customHeight="1" thickBot="1" x14ac:dyDescent="0.25">
      <c r="A53" s="150" t="s">
        <v>228</v>
      </c>
      <c r="B53" s="144" t="s">
        <v>60</v>
      </c>
      <c r="C53" s="144" t="s">
        <v>60</v>
      </c>
      <c r="D53" s="144" t="s">
        <v>60</v>
      </c>
      <c r="E53" s="144" t="s">
        <v>60</v>
      </c>
      <c r="F53" s="144" t="s">
        <v>60</v>
      </c>
      <c r="G53" s="144" t="s">
        <v>60</v>
      </c>
      <c r="H53" s="166" t="s">
        <v>61</v>
      </c>
      <c r="I53" s="144" t="s">
        <v>60</v>
      </c>
      <c r="J53" s="144" t="s">
        <v>60</v>
      </c>
      <c r="K53" s="166" t="s">
        <v>61</v>
      </c>
      <c r="L53" s="144" t="s">
        <v>60</v>
      </c>
      <c r="M53" s="144" t="s">
        <v>60</v>
      </c>
      <c r="N53" s="144" t="s">
        <v>60</v>
      </c>
      <c r="O53" s="161" t="s">
        <v>40</v>
      </c>
    </row>
    <row r="54" spans="1:15" ht="19" customHeight="1" thickBot="1" x14ac:dyDescent="0.25">
      <c r="A54" s="151" t="s">
        <v>218</v>
      </c>
      <c r="B54" s="166" t="s">
        <v>61</v>
      </c>
      <c r="C54" s="166" t="s">
        <v>61</v>
      </c>
      <c r="D54" s="166" t="s">
        <v>61</v>
      </c>
      <c r="E54" s="166" t="s">
        <v>61</v>
      </c>
      <c r="F54" s="166" t="s">
        <v>61</v>
      </c>
      <c r="G54" s="166" t="s">
        <v>61</v>
      </c>
      <c r="H54" s="166" t="s">
        <v>61</v>
      </c>
      <c r="I54" s="164" t="s">
        <v>62</v>
      </c>
      <c r="J54" s="144" t="s">
        <v>60</v>
      </c>
      <c r="K54" s="166" t="s">
        <v>61</v>
      </c>
      <c r="L54" s="144" t="s">
        <v>60</v>
      </c>
      <c r="M54" s="144" t="s">
        <v>60</v>
      </c>
      <c r="N54" s="144" t="s">
        <v>60</v>
      </c>
      <c r="O54" s="163" t="s">
        <v>187</v>
      </c>
    </row>
    <row r="55" spans="1:15" ht="19" customHeight="1" thickBot="1" x14ac:dyDescent="0.25">
      <c r="A55" s="151" t="s">
        <v>219</v>
      </c>
      <c r="B55" s="166" t="s">
        <v>61</v>
      </c>
      <c r="C55" s="166" t="s">
        <v>61</v>
      </c>
      <c r="D55" s="144" t="s">
        <v>60</v>
      </c>
      <c r="E55" s="164" t="s">
        <v>62</v>
      </c>
      <c r="F55" s="166" t="s">
        <v>61</v>
      </c>
      <c r="G55" s="166" t="s">
        <v>61</v>
      </c>
      <c r="H55" s="166" t="s">
        <v>61</v>
      </c>
      <c r="I55" s="166" t="s">
        <v>61</v>
      </c>
      <c r="J55" s="166" t="s">
        <v>61</v>
      </c>
      <c r="K55" s="166" t="s">
        <v>61</v>
      </c>
      <c r="L55" s="166" t="s">
        <v>61</v>
      </c>
      <c r="M55" s="166" t="s">
        <v>61</v>
      </c>
      <c r="N55" s="144" t="s">
        <v>60</v>
      </c>
      <c r="O55" s="163" t="s">
        <v>187</v>
      </c>
    </row>
  </sheetData>
  <mergeCells count="1">
    <mergeCell ref="A24:R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062B-52D8-0E49-AAB9-A3EAFCAF6EFF}">
  <dimension ref="A1:S40"/>
  <sheetViews>
    <sheetView zoomScale="89" workbookViewId="0">
      <selection activeCell="H2" sqref="H2"/>
    </sheetView>
  </sheetViews>
  <sheetFormatPr baseColWidth="10" defaultRowHeight="16" x14ac:dyDescent="0.2"/>
  <cols>
    <col min="1" max="1" width="32.33203125" customWidth="1"/>
    <col min="2" max="6" width="11.6640625" customWidth="1"/>
    <col min="7" max="7" width="13.1640625" customWidth="1"/>
    <col min="8" max="9" width="9" customWidth="1"/>
    <col min="10" max="10" width="9.5" customWidth="1"/>
    <col min="11" max="11" width="6.83203125" customWidth="1"/>
    <col min="12" max="12" width="24.6640625" customWidth="1"/>
    <col min="14" max="14" width="17.1640625" customWidth="1"/>
    <col min="17" max="17" width="11" customWidth="1"/>
  </cols>
  <sheetData>
    <row r="1" spans="1:19" ht="17" thickBot="1" x14ac:dyDescent="0.25">
      <c r="A1" s="2"/>
      <c r="B1" s="2"/>
      <c r="C1" s="2"/>
      <c r="D1" s="2"/>
      <c r="E1" s="2"/>
      <c r="F1" s="2"/>
      <c r="G1" s="2"/>
      <c r="H1" s="102" t="s">
        <v>2</v>
      </c>
      <c r="I1" s="103"/>
      <c r="J1" s="103"/>
      <c r="K1" s="3" t="s">
        <v>3</v>
      </c>
      <c r="L1" s="93" t="s">
        <v>4</v>
      </c>
      <c r="M1" s="5" t="s">
        <v>3</v>
      </c>
      <c r="N1" s="104" t="s">
        <v>10</v>
      </c>
      <c r="O1" s="105"/>
      <c r="P1" s="4" t="s">
        <v>3</v>
      </c>
      <c r="Q1" s="10" t="s">
        <v>13</v>
      </c>
      <c r="R1" s="6" t="s">
        <v>3</v>
      </c>
      <c r="S1" s="7" t="s">
        <v>14</v>
      </c>
    </row>
    <row r="2" spans="1:19" ht="17" thickBot="1" x14ac:dyDescent="0.25">
      <c r="A2" s="7" t="s">
        <v>7</v>
      </c>
      <c r="B2" s="8" t="s">
        <v>1</v>
      </c>
      <c r="C2" s="8" t="s">
        <v>16</v>
      </c>
      <c r="D2" s="8" t="s">
        <v>17</v>
      </c>
      <c r="E2" s="8" t="s">
        <v>18</v>
      </c>
      <c r="F2" s="8" t="s">
        <v>184</v>
      </c>
      <c r="G2" s="8" t="s">
        <v>185</v>
      </c>
      <c r="H2" s="8" t="s">
        <v>37</v>
      </c>
      <c r="I2" s="8" t="s">
        <v>109</v>
      </c>
      <c r="J2" s="8" t="s">
        <v>19</v>
      </c>
      <c r="K2" s="9" t="s">
        <v>12</v>
      </c>
      <c r="L2" s="8" t="s">
        <v>190</v>
      </c>
      <c r="M2" s="9" t="s">
        <v>12</v>
      </c>
      <c r="N2" s="8" t="s">
        <v>11</v>
      </c>
      <c r="O2" s="8" t="s">
        <v>108</v>
      </c>
      <c r="P2" s="9" t="s">
        <v>12</v>
      </c>
      <c r="Q2" s="8" t="s">
        <v>191</v>
      </c>
      <c r="R2" s="9" t="s">
        <v>12</v>
      </c>
      <c r="S2" s="8" t="s">
        <v>0</v>
      </c>
    </row>
    <row r="3" spans="1:19" x14ac:dyDescent="0.2">
      <c r="A3" s="100" t="s">
        <v>5</v>
      </c>
      <c r="B3" t="s">
        <v>8</v>
      </c>
      <c r="C3">
        <v>0.89700000000000002</v>
      </c>
      <c r="D3">
        <v>0.88200000000000001</v>
      </c>
      <c r="E3">
        <v>0.91</v>
      </c>
      <c r="F3">
        <v>0.755</v>
      </c>
      <c r="G3">
        <v>0.96099999999999997</v>
      </c>
      <c r="H3">
        <v>22</v>
      </c>
      <c r="I3">
        <v>254</v>
      </c>
      <c r="J3">
        <f>E3-D3</f>
        <v>2.8000000000000025E-2</v>
      </c>
      <c r="K3" s="8">
        <v>1</v>
      </c>
      <c r="L3">
        <f>(E3-D3)/(G3-F3)</f>
        <v>0.13592233009708751</v>
      </c>
      <c r="M3" s="8">
        <v>4</v>
      </c>
      <c r="N3">
        <v>0</v>
      </c>
      <c r="O3">
        <v>50</v>
      </c>
      <c r="P3" s="8">
        <v>4</v>
      </c>
      <c r="Q3" t="s">
        <v>136</v>
      </c>
      <c r="R3" s="1">
        <v>1</v>
      </c>
      <c r="S3" s="99" t="s">
        <v>188</v>
      </c>
    </row>
    <row r="4" spans="1:19" ht="17" thickBot="1" x14ac:dyDescent="0.25">
      <c r="A4" s="101"/>
      <c r="B4" t="s">
        <v>9</v>
      </c>
      <c r="C4">
        <v>0.90400000000000003</v>
      </c>
      <c r="D4">
        <v>0.89100000000000001</v>
      </c>
      <c r="E4">
        <v>0.91600000000000004</v>
      </c>
      <c r="F4">
        <v>0.82399999999999995</v>
      </c>
      <c r="G4">
        <v>0.95</v>
      </c>
      <c r="H4">
        <v>20</v>
      </c>
      <c r="I4">
        <v>254</v>
      </c>
      <c r="J4">
        <f t="shared" ref="J4:J40" si="0">E4-D4</f>
        <v>2.5000000000000022E-2</v>
      </c>
      <c r="K4" s="8">
        <v>1</v>
      </c>
      <c r="L4">
        <f t="shared" ref="L4:L40" si="1">(E4-D4)/(G4-F4)</f>
        <v>0.1984126984126986</v>
      </c>
      <c r="M4" s="8">
        <v>4</v>
      </c>
      <c r="N4">
        <v>0</v>
      </c>
      <c r="O4">
        <v>50</v>
      </c>
      <c r="P4" s="8">
        <v>4</v>
      </c>
      <c r="Q4" t="s">
        <v>136</v>
      </c>
      <c r="R4" s="1">
        <v>1</v>
      </c>
      <c r="S4" s="99"/>
    </row>
    <row r="5" spans="1:19" x14ac:dyDescent="0.2">
      <c r="A5" s="100" t="s">
        <v>6</v>
      </c>
      <c r="B5" t="s">
        <v>8</v>
      </c>
      <c r="C5">
        <v>0.85799999999999998</v>
      </c>
      <c r="D5">
        <v>0.78100000000000003</v>
      </c>
      <c r="E5">
        <v>0.91</v>
      </c>
      <c r="F5">
        <v>0.54600000000000004</v>
      </c>
      <c r="G5">
        <v>0.96799999999999997</v>
      </c>
      <c r="H5">
        <v>7</v>
      </c>
      <c r="I5">
        <v>53</v>
      </c>
      <c r="J5">
        <f t="shared" si="0"/>
        <v>0.129</v>
      </c>
      <c r="K5" s="8">
        <v>2</v>
      </c>
      <c r="L5">
        <f t="shared" si="1"/>
        <v>0.30568720379146924</v>
      </c>
      <c r="M5" s="8">
        <v>2</v>
      </c>
      <c r="N5">
        <v>0</v>
      </c>
      <c r="O5">
        <v>33</v>
      </c>
      <c r="P5" s="8">
        <v>3</v>
      </c>
      <c r="Q5" t="s">
        <v>136</v>
      </c>
      <c r="R5" s="1">
        <v>1</v>
      </c>
      <c r="S5" s="99" t="s">
        <v>193</v>
      </c>
    </row>
    <row r="6" spans="1:19" ht="17" thickBot="1" x14ac:dyDescent="0.25">
      <c r="A6" s="101"/>
      <c r="B6" t="s">
        <v>9</v>
      </c>
      <c r="C6">
        <v>0.93200000000000005</v>
      </c>
      <c r="D6">
        <v>0.92</v>
      </c>
      <c r="E6">
        <v>0.94299999999999995</v>
      </c>
      <c r="F6">
        <v>0.90900000000000003</v>
      </c>
      <c r="G6">
        <v>0.95</v>
      </c>
      <c r="H6">
        <v>6</v>
      </c>
      <c r="I6">
        <v>53</v>
      </c>
      <c r="J6">
        <f t="shared" si="0"/>
        <v>2.2999999999999909E-2</v>
      </c>
      <c r="K6" s="8">
        <v>1</v>
      </c>
      <c r="L6">
        <f t="shared" si="1"/>
        <v>0.56097560975609639</v>
      </c>
      <c r="M6" s="8">
        <v>1</v>
      </c>
      <c r="N6">
        <v>0</v>
      </c>
      <c r="O6">
        <v>33</v>
      </c>
      <c r="P6" s="8">
        <v>3</v>
      </c>
      <c r="Q6" t="s">
        <v>136</v>
      </c>
      <c r="R6" s="1">
        <v>1</v>
      </c>
      <c r="S6" s="99"/>
    </row>
    <row r="7" spans="1:19" x14ac:dyDescent="0.2">
      <c r="A7" s="100" t="s">
        <v>15</v>
      </c>
      <c r="B7" t="s">
        <v>8</v>
      </c>
      <c r="C7">
        <v>0.89500000000000002</v>
      </c>
      <c r="D7">
        <v>0.63</v>
      </c>
      <c r="E7">
        <v>0.97699999999999998</v>
      </c>
      <c r="F7">
        <v>0.311</v>
      </c>
      <c r="G7">
        <v>0.99399999999999999</v>
      </c>
      <c r="H7">
        <v>4</v>
      </c>
      <c r="I7">
        <v>17</v>
      </c>
      <c r="J7">
        <f t="shared" si="0"/>
        <v>0.34699999999999998</v>
      </c>
      <c r="K7" s="8">
        <v>5</v>
      </c>
      <c r="L7">
        <f t="shared" si="1"/>
        <v>0.50805270863836005</v>
      </c>
      <c r="M7" s="8">
        <v>1</v>
      </c>
      <c r="N7">
        <v>0</v>
      </c>
      <c r="O7">
        <v>0</v>
      </c>
      <c r="P7" s="8">
        <v>3</v>
      </c>
      <c r="Q7" t="s">
        <v>136</v>
      </c>
      <c r="R7" s="1">
        <v>1</v>
      </c>
      <c r="S7" s="98" t="s">
        <v>189</v>
      </c>
    </row>
    <row r="8" spans="1:19" ht="17" thickBot="1" x14ac:dyDescent="0.25">
      <c r="A8" s="101"/>
      <c r="B8" t="s">
        <v>9</v>
      </c>
      <c r="C8">
        <v>0.93899999999999995</v>
      </c>
      <c r="D8">
        <v>0.89900000000000002</v>
      </c>
      <c r="E8">
        <v>0.96299999999999997</v>
      </c>
      <c r="F8">
        <v>0.85099999999999998</v>
      </c>
      <c r="G8">
        <v>0.97599999999999998</v>
      </c>
      <c r="H8">
        <v>4</v>
      </c>
      <c r="I8">
        <v>17</v>
      </c>
      <c r="J8">
        <f t="shared" si="0"/>
        <v>6.3999999999999946E-2</v>
      </c>
      <c r="K8" s="8">
        <v>4</v>
      </c>
      <c r="L8">
        <f t="shared" si="1"/>
        <v>0.51199999999999957</v>
      </c>
      <c r="M8" s="8">
        <v>1</v>
      </c>
      <c r="N8">
        <v>0</v>
      </c>
      <c r="O8">
        <v>0</v>
      </c>
      <c r="P8" s="8">
        <v>3</v>
      </c>
      <c r="Q8" t="s">
        <v>136</v>
      </c>
      <c r="R8" s="1">
        <v>1</v>
      </c>
      <c r="S8" s="98"/>
    </row>
    <row r="9" spans="1:19" ht="17" thickBot="1" x14ac:dyDescent="0.25">
      <c r="A9" s="2"/>
      <c r="K9" s="8"/>
      <c r="M9" s="8"/>
    </row>
    <row r="10" spans="1:19" ht="17" thickBot="1" x14ac:dyDescent="0.25">
      <c r="A10" s="5" t="s">
        <v>24</v>
      </c>
      <c r="K10" s="8"/>
      <c r="M10" s="8"/>
    </row>
    <row r="11" spans="1:19" x14ac:dyDescent="0.2">
      <c r="A11" s="100" t="s">
        <v>20</v>
      </c>
      <c r="B11" t="s">
        <v>8</v>
      </c>
      <c r="C11">
        <v>0.90300000000000002</v>
      </c>
      <c r="D11">
        <v>0.878</v>
      </c>
      <c r="E11">
        <v>0.92500000000000004</v>
      </c>
      <c r="F11">
        <v>0.71899999999999997</v>
      </c>
      <c r="G11">
        <v>0.97199999999999998</v>
      </c>
      <c r="H11">
        <v>14</v>
      </c>
      <c r="I11">
        <v>147</v>
      </c>
      <c r="J11">
        <f t="shared" si="0"/>
        <v>4.7000000000000042E-2</v>
      </c>
      <c r="K11" s="8">
        <v>1</v>
      </c>
      <c r="L11">
        <f t="shared" si="1"/>
        <v>0.18577075098814247</v>
      </c>
      <c r="M11" s="8">
        <v>4</v>
      </c>
      <c r="N11">
        <v>0</v>
      </c>
      <c r="O11">
        <v>64</v>
      </c>
      <c r="P11" s="8">
        <v>4</v>
      </c>
      <c r="Q11" t="s">
        <v>136</v>
      </c>
      <c r="R11" s="1">
        <v>1</v>
      </c>
      <c r="S11" s="98" t="s">
        <v>188</v>
      </c>
    </row>
    <row r="12" spans="1:19" ht="17" thickBot="1" x14ac:dyDescent="0.25">
      <c r="A12" s="101"/>
      <c r="B12" t="s">
        <v>9</v>
      </c>
      <c r="C12">
        <v>0.89500000000000002</v>
      </c>
      <c r="D12">
        <v>0.88200000000000001</v>
      </c>
      <c r="E12">
        <v>0.90600000000000003</v>
      </c>
      <c r="F12">
        <v>0.81499999999999995</v>
      </c>
      <c r="G12">
        <v>0.94299999999999995</v>
      </c>
      <c r="H12">
        <v>14</v>
      </c>
      <c r="I12">
        <v>147</v>
      </c>
      <c r="J12">
        <f t="shared" si="0"/>
        <v>2.4000000000000021E-2</v>
      </c>
      <c r="K12" s="8">
        <v>1</v>
      </c>
      <c r="L12">
        <f t="shared" si="1"/>
        <v>0.18750000000000017</v>
      </c>
      <c r="M12" s="8">
        <v>4</v>
      </c>
      <c r="N12">
        <v>0</v>
      </c>
      <c r="O12">
        <v>64</v>
      </c>
      <c r="P12" s="8">
        <v>4</v>
      </c>
      <c r="Q12" t="s">
        <v>136</v>
      </c>
      <c r="R12" s="1">
        <v>1</v>
      </c>
      <c r="S12" s="98"/>
    </row>
    <row r="13" spans="1:19" x14ac:dyDescent="0.2">
      <c r="A13" s="100" t="s">
        <v>21</v>
      </c>
      <c r="B13" t="s">
        <v>8</v>
      </c>
      <c r="C13">
        <v>0.86599999999999999</v>
      </c>
      <c r="D13">
        <v>0.83799999999999997</v>
      </c>
      <c r="E13">
        <v>0.89</v>
      </c>
      <c r="F13">
        <v>0.81899999999999995</v>
      </c>
      <c r="G13">
        <v>0.90300000000000002</v>
      </c>
      <c r="H13">
        <v>7</v>
      </c>
      <c r="I13">
        <v>84</v>
      </c>
      <c r="J13">
        <f t="shared" si="0"/>
        <v>5.2000000000000046E-2</v>
      </c>
      <c r="K13" s="8">
        <v>1</v>
      </c>
      <c r="L13">
        <f t="shared" si="1"/>
        <v>0.61904761904761907</v>
      </c>
      <c r="M13" s="8">
        <v>1</v>
      </c>
      <c r="N13">
        <v>0</v>
      </c>
      <c r="O13">
        <v>57</v>
      </c>
      <c r="P13" s="8">
        <v>4</v>
      </c>
      <c r="Q13" t="s">
        <v>136</v>
      </c>
      <c r="R13" s="1">
        <v>1</v>
      </c>
      <c r="S13" s="98" t="s">
        <v>188</v>
      </c>
    </row>
    <row r="14" spans="1:19" ht="17" thickBot="1" x14ac:dyDescent="0.25">
      <c r="A14" s="101"/>
      <c r="B14" t="s">
        <v>9</v>
      </c>
      <c r="C14">
        <v>0.93600000000000005</v>
      </c>
      <c r="D14">
        <v>0.88500000000000001</v>
      </c>
      <c r="E14">
        <v>0.96499999999999997</v>
      </c>
      <c r="F14">
        <v>0.79600000000000004</v>
      </c>
      <c r="G14">
        <v>0.98199999999999998</v>
      </c>
      <c r="H14">
        <v>5</v>
      </c>
      <c r="I14">
        <v>84</v>
      </c>
      <c r="J14">
        <f t="shared" si="0"/>
        <v>7.999999999999996E-2</v>
      </c>
      <c r="K14" s="8">
        <v>1</v>
      </c>
      <c r="L14">
        <f t="shared" si="1"/>
        <v>0.43010752688172033</v>
      </c>
      <c r="M14" s="8">
        <v>2</v>
      </c>
      <c r="N14">
        <v>0</v>
      </c>
      <c r="O14">
        <v>57</v>
      </c>
      <c r="P14" s="8">
        <v>4</v>
      </c>
      <c r="Q14" t="s">
        <v>192</v>
      </c>
      <c r="R14" s="1">
        <v>2</v>
      </c>
      <c r="S14" s="98"/>
    </row>
    <row r="15" spans="1:19" ht="16" customHeight="1" x14ac:dyDescent="0.2">
      <c r="A15" s="100" t="s">
        <v>22</v>
      </c>
      <c r="B15" t="s">
        <v>8</v>
      </c>
      <c r="C15">
        <v>0.91</v>
      </c>
      <c r="D15">
        <v>0.83</v>
      </c>
      <c r="E15">
        <v>0.95</v>
      </c>
      <c r="F15" t="s">
        <v>36</v>
      </c>
      <c r="G15" t="s">
        <v>36</v>
      </c>
      <c r="H15">
        <v>1</v>
      </c>
      <c r="I15">
        <v>5</v>
      </c>
      <c r="J15">
        <f t="shared" si="0"/>
        <v>0.12</v>
      </c>
      <c r="K15" s="8">
        <v>5</v>
      </c>
      <c r="L15" t="s">
        <v>36</v>
      </c>
      <c r="M15" s="8">
        <v>5</v>
      </c>
      <c r="N15">
        <v>0</v>
      </c>
      <c r="O15">
        <v>100</v>
      </c>
      <c r="P15" s="8">
        <v>4</v>
      </c>
      <c r="Q15" t="s">
        <v>136</v>
      </c>
      <c r="R15" s="1">
        <v>1</v>
      </c>
      <c r="S15" s="98" t="s">
        <v>189</v>
      </c>
    </row>
    <row r="16" spans="1:19" ht="17" customHeight="1" thickBot="1" x14ac:dyDescent="0.25">
      <c r="A16" s="101"/>
      <c r="B16" t="s">
        <v>9</v>
      </c>
      <c r="C16">
        <v>0.89</v>
      </c>
      <c r="D16">
        <v>0.84</v>
      </c>
      <c r="E16">
        <v>0.93</v>
      </c>
      <c r="F16" t="s">
        <v>36</v>
      </c>
      <c r="G16" t="s">
        <v>36</v>
      </c>
      <c r="H16">
        <v>1</v>
      </c>
      <c r="I16">
        <v>5</v>
      </c>
      <c r="J16">
        <f t="shared" si="0"/>
        <v>9.000000000000008E-2</v>
      </c>
      <c r="K16" s="8">
        <v>5</v>
      </c>
      <c r="L16" t="s">
        <v>36</v>
      </c>
      <c r="M16" s="8">
        <v>5</v>
      </c>
      <c r="N16">
        <v>0</v>
      </c>
      <c r="O16">
        <v>100</v>
      </c>
      <c r="P16" s="8">
        <v>4</v>
      </c>
      <c r="Q16" t="s">
        <v>136</v>
      </c>
      <c r="R16" s="1">
        <v>1</v>
      </c>
      <c r="S16" s="98"/>
    </row>
    <row r="17" spans="1:19" x14ac:dyDescent="0.2">
      <c r="A17" s="100" t="s">
        <v>23</v>
      </c>
      <c r="B17" t="s">
        <v>8</v>
      </c>
      <c r="C17">
        <v>0.84</v>
      </c>
      <c r="D17">
        <v>0.8</v>
      </c>
      <c r="E17">
        <v>0.88</v>
      </c>
      <c r="F17" t="s">
        <v>36</v>
      </c>
      <c r="G17" t="s">
        <v>36</v>
      </c>
      <c r="H17">
        <v>1</v>
      </c>
      <c r="I17">
        <v>4</v>
      </c>
      <c r="J17">
        <f t="shared" si="0"/>
        <v>7.999999999999996E-2</v>
      </c>
      <c r="K17" s="8">
        <v>5</v>
      </c>
      <c r="L17" t="s">
        <v>36</v>
      </c>
      <c r="M17" s="8">
        <v>5</v>
      </c>
      <c r="N17">
        <v>0</v>
      </c>
      <c r="O17">
        <v>0</v>
      </c>
      <c r="P17" s="8">
        <v>3</v>
      </c>
      <c r="Q17" t="s">
        <v>136</v>
      </c>
      <c r="R17" s="1">
        <v>1</v>
      </c>
      <c r="S17" s="98" t="s">
        <v>189</v>
      </c>
    </row>
    <row r="18" spans="1:19" ht="17" thickBot="1" x14ac:dyDescent="0.25">
      <c r="A18" s="101"/>
      <c r="B18" t="s">
        <v>9</v>
      </c>
      <c r="C18">
        <v>0.93</v>
      </c>
      <c r="D18">
        <v>0.89</v>
      </c>
      <c r="E18">
        <v>0.96</v>
      </c>
      <c r="F18" t="s">
        <v>36</v>
      </c>
      <c r="G18" t="s">
        <v>36</v>
      </c>
      <c r="H18">
        <v>1</v>
      </c>
      <c r="I18">
        <v>4</v>
      </c>
      <c r="J18">
        <f t="shared" si="0"/>
        <v>6.9999999999999951E-2</v>
      </c>
      <c r="K18" s="8">
        <v>5</v>
      </c>
      <c r="L18" t="s">
        <v>36</v>
      </c>
      <c r="M18" s="8">
        <v>5</v>
      </c>
      <c r="N18">
        <v>0</v>
      </c>
      <c r="O18">
        <v>0</v>
      </c>
      <c r="P18" s="8">
        <v>3</v>
      </c>
      <c r="Q18" t="s">
        <v>136</v>
      </c>
      <c r="R18" s="1">
        <v>1</v>
      </c>
      <c r="S18" s="98"/>
    </row>
    <row r="19" spans="1:19" ht="17" thickBot="1" x14ac:dyDescent="0.25">
      <c r="K19" s="8"/>
      <c r="M19" s="8"/>
      <c r="R19" s="1"/>
    </row>
    <row r="20" spans="1:19" ht="17" thickBot="1" x14ac:dyDescent="0.25">
      <c r="A20" s="5" t="s">
        <v>25</v>
      </c>
      <c r="K20" s="8"/>
      <c r="M20" s="8"/>
      <c r="R20" s="1"/>
    </row>
    <row r="21" spans="1:19" x14ac:dyDescent="0.2">
      <c r="A21" s="100" t="s">
        <v>26</v>
      </c>
      <c r="B21" t="s">
        <v>8</v>
      </c>
      <c r="C21">
        <v>0.91300000000000003</v>
      </c>
      <c r="D21">
        <v>0.871</v>
      </c>
      <c r="E21">
        <v>0.94199999999999995</v>
      </c>
      <c r="F21">
        <v>0.71599999999999997</v>
      </c>
      <c r="G21">
        <v>0.97699999999999998</v>
      </c>
      <c r="H21">
        <v>9</v>
      </c>
      <c r="I21">
        <v>124</v>
      </c>
      <c r="J21">
        <f t="shared" si="0"/>
        <v>7.0999999999999952E-2</v>
      </c>
      <c r="K21" s="8">
        <v>1</v>
      </c>
      <c r="L21">
        <f t="shared" si="1"/>
        <v>0.27203065134099597</v>
      </c>
      <c r="M21" s="8">
        <v>3</v>
      </c>
      <c r="N21">
        <v>0</v>
      </c>
      <c r="O21">
        <v>73</v>
      </c>
      <c r="P21" s="8">
        <v>4</v>
      </c>
      <c r="Q21" t="s">
        <v>136</v>
      </c>
      <c r="R21" s="1">
        <v>1</v>
      </c>
      <c r="S21" s="98" t="s">
        <v>188</v>
      </c>
    </row>
    <row r="22" spans="1:19" ht="17" thickBot="1" x14ac:dyDescent="0.25">
      <c r="A22" s="101"/>
      <c r="B22" t="s">
        <v>9</v>
      </c>
      <c r="C22">
        <v>0.88600000000000001</v>
      </c>
      <c r="D22">
        <v>0.86799999999999999</v>
      </c>
      <c r="E22">
        <v>0.90200000000000002</v>
      </c>
      <c r="F22">
        <v>0.82599999999999996</v>
      </c>
      <c r="G22">
        <v>0.92700000000000005</v>
      </c>
      <c r="H22">
        <v>9</v>
      </c>
      <c r="I22">
        <v>124</v>
      </c>
      <c r="J22">
        <f t="shared" si="0"/>
        <v>3.400000000000003E-2</v>
      </c>
      <c r="K22" s="8">
        <v>1</v>
      </c>
      <c r="L22">
        <f t="shared" si="1"/>
        <v>0.33663366336633666</v>
      </c>
      <c r="M22" s="8">
        <v>2</v>
      </c>
      <c r="N22">
        <v>0</v>
      </c>
      <c r="O22">
        <v>73</v>
      </c>
      <c r="P22" s="8">
        <v>4</v>
      </c>
      <c r="Q22" t="s">
        <v>192</v>
      </c>
      <c r="R22" s="1">
        <v>2</v>
      </c>
      <c r="S22" s="98"/>
    </row>
    <row r="23" spans="1:19" x14ac:dyDescent="0.2">
      <c r="A23" s="100" t="s">
        <v>27</v>
      </c>
      <c r="B23" t="s">
        <v>8</v>
      </c>
      <c r="C23">
        <v>0.89600000000000002</v>
      </c>
      <c r="D23">
        <v>0.85299999999999998</v>
      </c>
      <c r="E23">
        <v>0.92700000000000005</v>
      </c>
      <c r="F23">
        <v>0.69799999999999995</v>
      </c>
      <c r="G23">
        <v>0.97</v>
      </c>
      <c r="H23">
        <v>5</v>
      </c>
      <c r="I23">
        <v>63</v>
      </c>
      <c r="J23">
        <f t="shared" si="0"/>
        <v>7.4000000000000066E-2</v>
      </c>
      <c r="K23" s="8">
        <v>1</v>
      </c>
      <c r="L23">
        <f t="shared" si="1"/>
        <v>0.27205882352941196</v>
      </c>
      <c r="M23" s="8">
        <v>3</v>
      </c>
      <c r="N23">
        <v>0</v>
      </c>
      <c r="O23">
        <v>80</v>
      </c>
      <c r="P23" s="8">
        <v>4</v>
      </c>
      <c r="Q23" t="s">
        <v>136</v>
      </c>
      <c r="R23" s="1">
        <v>1</v>
      </c>
      <c r="S23" s="98" t="s">
        <v>188</v>
      </c>
    </row>
    <row r="24" spans="1:19" ht="17" thickBot="1" x14ac:dyDescent="0.25">
      <c r="A24" s="101"/>
      <c r="B24" t="s">
        <v>9</v>
      </c>
      <c r="C24">
        <v>0.90200000000000002</v>
      </c>
      <c r="D24">
        <v>0.871</v>
      </c>
      <c r="E24">
        <v>0.92700000000000005</v>
      </c>
      <c r="F24">
        <v>0.78</v>
      </c>
      <c r="G24">
        <v>0.96</v>
      </c>
      <c r="H24">
        <v>5</v>
      </c>
      <c r="I24">
        <v>63</v>
      </c>
      <c r="J24">
        <f t="shared" si="0"/>
        <v>5.600000000000005E-2</v>
      </c>
      <c r="K24" s="8">
        <v>1</v>
      </c>
      <c r="L24">
        <f t="shared" si="1"/>
        <v>0.3111111111111115</v>
      </c>
      <c r="M24" s="8">
        <v>2</v>
      </c>
      <c r="N24">
        <v>0</v>
      </c>
      <c r="O24">
        <v>80</v>
      </c>
      <c r="P24" s="8">
        <v>4</v>
      </c>
      <c r="Q24" t="s">
        <v>136</v>
      </c>
      <c r="R24" s="1">
        <v>1</v>
      </c>
      <c r="S24" s="98"/>
    </row>
    <row r="25" spans="1:19" x14ac:dyDescent="0.2">
      <c r="A25" s="100" t="s">
        <v>28</v>
      </c>
      <c r="B25" t="s">
        <v>8</v>
      </c>
      <c r="C25">
        <v>0.85499999999999998</v>
      </c>
      <c r="D25">
        <v>0.79500000000000004</v>
      </c>
      <c r="E25">
        <v>0.89900000000000002</v>
      </c>
      <c r="F25">
        <v>0.64100000000000001</v>
      </c>
      <c r="G25">
        <v>0.95099999999999996</v>
      </c>
      <c r="H25">
        <v>8</v>
      </c>
      <c r="I25">
        <v>59</v>
      </c>
      <c r="J25">
        <f t="shared" si="0"/>
        <v>0.10399999999999998</v>
      </c>
      <c r="K25" s="8">
        <v>2</v>
      </c>
      <c r="L25">
        <f t="shared" si="1"/>
        <v>0.33548387096774196</v>
      </c>
      <c r="M25" s="8">
        <v>2</v>
      </c>
      <c r="N25">
        <v>0</v>
      </c>
      <c r="O25">
        <v>63</v>
      </c>
      <c r="P25" s="8">
        <v>4</v>
      </c>
      <c r="Q25" t="s">
        <v>136</v>
      </c>
      <c r="R25" s="1">
        <v>1</v>
      </c>
      <c r="S25" s="98" t="s">
        <v>188</v>
      </c>
    </row>
    <row r="26" spans="1:19" ht="17" thickBot="1" x14ac:dyDescent="0.25">
      <c r="A26" s="101"/>
      <c r="B26" t="s">
        <v>9</v>
      </c>
      <c r="C26">
        <v>0.92</v>
      </c>
      <c r="D26">
        <v>0.877</v>
      </c>
      <c r="E26">
        <v>0.94899999999999995</v>
      </c>
      <c r="F26">
        <v>0.77300000000000002</v>
      </c>
      <c r="G26">
        <v>0.97499999999999998</v>
      </c>
      <c r="H26">
        <v>8</v>
      </c>
      <c r="I26">
        <v>59</v>
      </c>
      <c r="J26">
        <f t="shared" si="0"/>
        <v>7.1999999999999953E-2</v>
      </c>
      <c r="K26" s="8">
        <v>1</v>
      </c>
      <c r="L26">
        <f t="shared" si="1"/>
        <v>0.35643564356435625</v>
      </c>
      <c r="M26" s="8">
        <v>2</v>
      </c>
      <c r="N26">
        <v>0</v>
      </c>
      <c r="O26">
        <v>63</v>
      </c>
      <c r="P26" s="8">
        <v>4</v>
      </c>
      <c r="Q26" t="s">
        <v>136</v>
      </c>
      <c r="R26" s="1">
        <v>1</v>
      </c>
      <c r="S26" s="98"/>
    </row>
    <row r="27" spans="1:19" x14ac:dyDescent="0.2">
      <c r="A27" s="100" t="s">
        <v>29</v>
      </c>
      <c r="B27" t="s">
        <v>8</v>
      </c>
      <c r="C27">
        <v>0.92300000000000004</v>
      </c>
      <c r="D27">
        <v>0.76100000000000001</v>
      </c>
      <c r="E27">
        <v>0.97799999999999998</v>
      </c>
      <c r="F27">
        <v>0.442</v>
      </c>
      <c r="G27">
        <v>0.995</v>
      </c>
      <c r="H27">
        <v>4</v>
      </c>
      <c r="I27">
        <v>23</v>
      </c>
      <c r="J27">
        <f t="shared" si="0"/>
        <v>0.21699999999999997</v>
      </c>
      <c r="K27" s="8">
        <v>4</v>
      </c>
      <c r="L27">
        <f t="shared" si="1"/>
        <v>0.39240506329113922</v>
      </c>
      <c r="M27" s="8">
        <v>2</v>
      </c>
      <c r="N27">
        <v>0</v>
      </c>
      <c r="O27">
        <v>0</v>
      </c>
      <c r="P27" s="8">
        <v>3</v>
      </c>
      <c r="Q27" t="s">
        <v>136</v>
      </c>
      <c r="R27" s="1">
        <v>1</v>
      </c>
      <c r="S27" s="98" t="s">
        <v>188</v>
      </c>
    </row>
    <row r="28" spans="1:19" ht="17" thickBot="1" x14ac:dyDescent="0.25">
      <c r="A28" s="101"/>
      <c r="B28" t="s">
        <v>9</v>
      </c>
      <c r="C28">
        <v>0.871</v>
      </c>
      <c r="D28">
        <v>0.75900000000000001</v>
      </c>
      <c r="E28">
        <v>0.93500000000000005</v>
      </c>
      <c r="F28">
        <v>0.61499999999999999</v>
      </c>
      <c r="G28">
        <v>0.96599999999999997</v>
      </c>
      <c r="H28">
        <v>4</v>
      </c>
      <c r="I28">
        <v>23</v>
      </c>
      <c r="J28">
        <f t="shared" si="0"/>
        <v>0.17600000000000005</v>
      </c>
      <c r="K28" s="8">
        <v>3</v>
      </c>
      <c r="L28">
        <f t="shared" si="1"/>
        <v>0.50142450142450157</v>
      </c>
      <c r="M28" s="8">
        <v>1</v>
      </c>
      <c r="N28">
        <v>0</v>
      </c>
      <c r="O28">
        <v>0</v>
      </c>
      <c r="P28" s="8">
        <v>3</v>
      </c>
      <c r="Q28" t="s">
        <v>136</v>
      </c>
      <c r="R28" s="1">
        <v>1</v>
      </c>
      <c r="S28" s="98"/>
    </row>
    <row r="29" spans="1:19" ht="17" thickBot="1" x14ac:dyDescent="0.25">
      <c r="K29" s="8"/>
      <c r="M29" s="8"/>
      <c r="R29" s="1"/>
    </row>
    <row r="30" spans="1:19" ht="17" thickBot="1" x14ac:dyDescent="0.25">
      <c r="A30" s="5" t="s">
        <v>30</v>
      </c>
      <c r="K30" s="8"/>
      <c r="M30" s="8"/>
      <c r="R30" s="1"/>
    </row>
    <row r="31" spans="1:19" x14ac:dyDescent="0.2">
      <c r="A31" s="100" t="s">
        <v>31</v>
      </c>
      <c r="B31" t="s">
        <v>8</v>
      </c>
      <c r="C31">
        <v>0.89500000000000002</v>
      </c>
      <c r="D31">
        <v>0.81299999999999994</v>
      </c>
      <c r="E31">
        <v>0.94299999999999995</v>
      </c>
      <c r="F31">
        <v>0.73499999999999999</v>
      </c>
      <c r="G31">
        <v>0.96299999999999997</v>
      </c>
      <c r="H31">
        <v>3</v>
      </c>
      <c r="I31">
        <v>85</v>
      </c>
      <c r="J31">
        <f t="shared" si="0"/>
        <v>0.13</v>
      </c>
      <c r="K31" s="8">
        <v>2</v>
      </c>
      <c r="L31">
        <f t="shared" si="1"/>
        <v>0.57017543859649134</v>
      </c>
      <c r="M31" s="8">
        <v>1</v>
      </c>
      <c r="N31">
        <v>0</v>
      </c>
      <c r="O31">
        <v>33</v>
      </c>
      <c r="P31" s="8">
        <v>3</v>
      </c>
      <c r="Q31" t="s">
        <v>136</v>
      </c>
      <c r="R31" s="1">
        <v>1</v>
      </c>
      <c r="S31" s="98" t="s">
        <v>188</v>
      </c>
    </row>
    <row r="32" spans="1:19" ht="17" thickBot="1" x14ac:dyDescent="0.25">
      <c r="A32" s="101"/>
      <c r="B32" t="s">
        <v>9</v>
      </c>
      <c r="C32">
        <v>0.90900000000000003</v>
      </c>
      <c r="D32">
        <v>0.74</v>
      </c>
      <c r="E32">
        <v>0.97299999999999998</v>
      </c>
      <c r="F32">
        <v>0.74</v>
      </c>
      <c r="G32">
        <v>0.97299999999999998</v>
      </c>
      <c r="H32">
        <v>2</v>
      </c>
      <c r="I32">
        <v>85</v>
      </c>
      <c r="J32">
        <f t="shared" si="0"/>
        <v>0.23299999999999998</v>
      </c>
      <c r="K32" s="8">
        <v>4</v>
      </c>
      <c r="L32">
        <f t="shared" si="1"/>
        <v>1</v>
      </c>
      <c r="M32" s="8">
        <v>1</v>
      </c>
      <c r="N32">
        <v>0</v>
      </c>
      <c r="O32">
        <v>33</v>
      </c>
      <c r="P32" s="8">
        <v>3</v>
      </c>
      <c r="Q32" t="s">
        <v>136</v>
      </c>
      <c r="R32" s="1">
        <v>1</v>
      </c>
      <c r="S32" s="98"/>
    </row>
    <row r="33" spans="1:19" x14ac:dyDescent="0.2">
      <c r="A33" s="100" t="s">
        <v>32</v>
      </c>
      <c r="B33" t="s">
        <v>8</v>
      </c>
      <c r="C33">
        <v>0.90200000000000002</v>
      </c>
      <c r="D33">
        <v>0.872</v>
      </c>
      <c r="E33">
        <v>0.92500000000000004</v>
      </c>
      <c r="F33">
        <v>0.80500000000000005</v>
      </c>
      <c r="G33">
        <v>0.95299999999999996</v>
      </c>
      <c r="H33">
        <v>4</v>
      </c>
      <c r="I33">
        <v>56</v>
      </c>
      <c r="J33">
        <f t="shared" si="0"/>
        <v>5.3000000000000047E-2</v>
      </c>
      <c r="K33" s="8">
        <v>1</v>
      </c>
      <c r="L33">
        <f t="shared" si="1"/>
        <v>0.35810810810810867</v>
      </c>
      <c r="M33" s="8">
        <v>2</v>
      </c>
      <c r="N33">
        <v>0</v>
      </c>
      <c r="O33">
        <v>50</v>
      </c>
      <c r="P33" s="8">
        <v>4</v>
      </c>
      <c r="Q33" t="s">
        <v>136</v>
      </c>
      <c r="R33" s="1">
        <v>1</v>
      </c>
      <c r="S33" s="98" t="s">
        <v>188</v>
      </c>
    </row>
    <row r="34" spans="1:19" ht="17" thickBot="1" x14ac:dyDescent="0.25">
      <c r="A34" s="101"/>
      <c r="B34" t="s">
        <v>9</v>
      </c>
      <c r="C34">
        <v>0.89700000000000002</v>
      </c>
      <c r="D34">
        <v>0.88500000000000001</v>
      </c>
      <c r="E34">
        <v>0.90800000000000003</v>
      </c>
      <c r="F34">
        <v>0.88500000000000001</v>
      </c>
      <c r="G34">
        <v>0.90800000000000003</v>
      </c>
      <c r="H34">
        <v>3</v>
      </c>
      <c r="I34">
        <v>56</v>
      </c>
      <c r="J34">
        <f t="shared" si="0"/>
        <v>2.300000000000002E-2</v>
      </c>
      <c r="K34" s="8">
        <v>2</v>
      </c>
      <c r="L34">
        <f t="shared" si="1"/>
        <v>1</v>
      </c>
      <c r="M34" s="8">
        <v>1</v>
      </c>
      <c r="N34">
        <v>0</v>
      </c>
      <c r="O34">
        <v>50</v>
      </c>
      <c r="P34" s="8">
        <v>4</v>
      </c>
      <c r="Q34" t="s">
        <v>136</v>
      </c>
      <c r="R34" s="1">
        <v>1</v>
      </c>
      <c r="S34" s="98"/>
    </row>
    <row r="35" spans="1:19" ht="17" thickBot="1" x14ac:dyDescent="0.25">
      <c r="K35" s="8"/>
      <c r="M35" s="8"/>
      <c r="R35" s="1"/>
    </row>
    <row r="36" spans="1:19" ht="17" thickBot="1" x14ac:dyDescent="0.25">
      <c r="A36" s="5" t="s">
        <v>33</v>
      </c>
      <c r="K36" s="8"/>
      <c r="M36" s="8"/>
      <c r="R36" s="1"/>
    </row>
    <row r="37" spans="1:19" x14ac:dyDescent="0.2">
      <c r="A37" s="100" t="s">
        <v>34</v>
      </c>
      <c r="B37" t="s">
        <v>8</v>
      </c>
      <c r="C37">
        <v>0.90500000000000003</v>
      </c>
      <c r="D37">
        <v>0.87</v>
      </c>
      <c r="E37">
        <v>0.93100000000000005</v>
      </c>
      <c r="F37">
        <v>0.87</v>
      </c>
      <c r="G37">
        <v>0.93100000000000005</v>
      </c>
      <c r="H37">
        <v>3</v>
      </c>
      <c r="I37">
        <v>111</v>
      </c>
      <c r="J37">
        <f t="shared" si="0"/>
        <v>6.1000000000000054E-2</v>
      </c>
      <c r="K37" s="8">
        <v>1</v>
      </c>
      <c r="L37">
        <f t="shared" si="1"/>
        <v>1</v>
      </c>
      <c r="M37" s="8">
        <v>1</v>
      </c>
      <c r="N37">
        <v>0</v>
      </c>
      <c r="O37">
        <v>50</v>
      </c>
      <c r="P37" s="8">
        <v>4</v>
      </c>
      <c r="Q37" t="s">
        <v>136</v>
      </c>
      <c r="R37" s="1">
        <v>1</v>
      </c>
      <c r="S37" s="98" t="s">
        <v>188</v>
      </c>
    </row>
    <row r="38" spans="1:19" ht="17" thickBot="1" x14ac:dyDescent="0.25">
      <c r="A38" s="101"/>
      <c r="B38" t="s">
        <v>9</v>
      </c>
      <c r="C38">
        <v>0.94099999999999995</v>
      </c>
      <c r="D38">
        <v>0.91300000000000003</v>
      </c>
      <c r="E38">
        <v>0.96</v>
      </c>
      <c r="F38">
        <v>0.90900000000000003</v>
      </c>
      <c r="G38">
        <v>0.96199999999999997</v>
      </c>
      <c r="H38">
        <v>3</v>
      </c>
      <c r="I38">
        <v>111</v>
      </c>
      <c r="J38">
        <f t="shared" si="0"/>
        <v>4.6999999999999931E-2</v>
      </c>
      <c r="K38" s="8">
        <v>1</v>
      </c>
      <c r="L38">
        <f t="shared" si="1"/>
        <v>0.88679245283018848</v>
      </c>
      <c r="M38" s="8">
        <v>1</v>
      </c>
      <c r="N38">
        <v>0</v>
      </c>
      <c r="O38">
        <v>50</v>
      </c>
      <c r="P38" s="8">
        <v>4</v>
      </c>
      <c r="Q38" t="s">
        <v>136</v>
      </c>
      <c r="R38" s="1">
        <v>1</v>
      </c>
      <c r="S38" s="98"/>
    </row>
    <row r="39" spans="1:19" x14ac:dyDescent="0.2">
      <c r="A39" s="100" t="s">
        <v>35</v>
      </c>
      <c r="B39" t="s">
        <v>8</v>
      </c>
      <c r="C39">
        <v>0.91800000000000004</v>
      </c>
      <c r="D39">
        <v>0.55300000000000005</v>
      </c>
      <c r="E39">
        <v>0.99</v>
      </c>
      <c r="F39">
        <v>0.47499999999999998</v>
      </c>
      <c r="G39">
        <v>0.99299999999999999</v>
      </c>
      <c r="H39">
        <v>2</v>
      </c>
      <c r="I39">
        <v>12</v>
      </c>
      <c r="J39">
        <f t="shared" si="0"/>
        <v>0.43699999999999994</v>
      </c>
      <c r="K39" s="8">
        <v>5</v>
      </c>
      <c r="L39">
        <f t="shared" si="1"/>
        <v>0.8436293436293435</v>
      </c>
      <c r="M39" s="8">
        <v>1</v>
      </c>
      <c r="N39">
        <v>0</v>
      </c>
      <c r="O39">
        <v>50</v>
      </c>
      <c r="P39" s="8">
        <v>4</v>
      </c>
      <c r="Q39" t="s">
        <v>136</v>
      </c>
      <c r="R39" s="1">
        <v>1</v>
      </c>
      <c r="S39" s="98" t="s">
        <v>188</v>
      </c>
    </row>
    <row r="40" spans="1:19" ht="17" thickBot="1" x14ac:dyDescent="0.25">
      <c r="A40" s="101"/>
      <c r="B40" t="s">
        <v>9</v>
      </c>
      <c r="C40">
        <v>0.88400000000000001</v>
      </c>
      <c r="D40">
        <v>0.55200000000000005</v>
      </c>
      <c r="E40">
        <v>0.97899999999999998</v>
      </c>
      <c r="F40">
        <v>0.55200000000000005</v>
      </c>
      <c r="G40">
        <v>0.97899999999999998</v>
      </c>
      <c r="H40">
        <v>2</v>
      </c>
      <c r="I40">
        <v>12</v>
      </c>
      <c r="J40">
        <f t="shared" si="0"/>
        <v>0.42699999999999994</v>
      </c>
      <c r="K40" s="8">
        <v>5</v>
      </c>
      <c r="L40">
        <f t="shared" si="1"/>
        <v>1</v>
      </c>
      <c r="M40" s="8">
        <v>1</v>
      </c>
      <c r="N40">
        <v>0</v>
      </c>
      <c r="O40">
        <v>50</v>
      </c>
      <c r="P40" s="8">
        <v>4</v>
      </c>
      <c r="Q40" t="s">
        <v>136</v>
      </c>
      <c r="R40" s="1">
        <v>1</v>
      </c>
      <c r="S40" s="98"/>
    </row>
  </sheetData>
  <mergeCells count="32">
    <mergeCell ref="A7:A8"/>
    <mergeCell ref="H1:J1"/>
    <mergeCell ref="N1:O1"/>
    <mergeCell ref="A3:A4"/>
    <mergeCell ref="A5:A6"/>
    <mergeCell ref="A39:A40"/>
    <mergeCell ref="A11:A12"/>
    <mergeCell ref="A13:A14"/>
    <mergeCell ref="A15:A16"/>
    <mergeCell ref="A17:A18"/>
    <mergeCell ref="A21:A22"/>
    <mergeCell ref="A23:A24"/>
    <mergeCell ref="A25:A26"/>
    <mergeCell ref="A27:A28"/>
    <mergeCell ref="A31:A32"/>
    <mergeCell ref="A33:A34"/>
    <mergeCell ref="A37:A38"/>
    <mergeCell ref="S3:S4"/>
    <mergeCell ref="S5:S6"/>
    <mergeCell ref="S7:S8"/>
    <mergeCell ref="S11:S12"/>
    <mergeCell ref="S13:S14"/>
    <mergeCell ref="S15:S16"/>
    <mergeCell ref="S17:S18"/>
    <mergeCell ref="S21:S22"/>
    <mergeCell ref="S23:S24"/>
    <mergeCell ref="S25:S26"/>
    <mergeCell ref="S27:S28"/>
    <mergeCell ref="S31:S32"/>
    <mergeCell ref="S33:S34"/>
    <mergeCell ref="S37:S38"/>
    <mergeCell ref="S39:S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D36C-3EFF-3242-AA7E-E22B9383D9C4}">
  <dimension ref="A1:R43"/>
  <sheetViews>
    <sheetView zoomScale="84" zoomScaleNormal="100" workbookViewId="0">
      <selection activeCell="G28" sqref="G28"/>
    </sheetView>
  </sheetViews>
  <sheetFormatPr baseColWidth="10" defaultRowHeight="19" x14ac:dyDescent="0.25"/>
  <cols>
    <col min="1" max="2" width="10.83203125" style="11"/>
    <col min="3" max="3" width="14.33203125" style="11" customWidth="1"/>
    <col min="4" max="7" width="10.83203125" style="11"/>
    <col min="8" max="8" width="16.5" style="11" customWidth="1"/>
    <col min="9" max="9" width="26.5" style="11" customWidth="1"/>
    <col min="10" max="10" width="11" style="11" customWidth="1"/>
    <col min="11" max="11" width="17.1640625" style="11" customWidth="1"/>
    <col min="12" max="17" width="10.83203125" style="11"/>
    <col min="18" max="18" width="23.83203125" style="11" customWidth="1"/>
    <col min="19" max="16384" width="10.83203125" style="11"/>
  </cols>
  <sheetData>
    <row r="1" spans="1:18" x14ac:dyDescent="0.25">
      <c r="H1" s="86"/>
      <c r="I1" s="86"/>
      <c r="J1" s="86"/>
    </row>
    <row r="3" spans="1:18" ht="29" x14ac:dyDescent="0.35">
      <c r="A3" s="86"/>
      <c r="B3" s="86"/>
      <c r="C3" s="26"/>
      <c r="D3" s="106" t="s">
        <v>181</v>
      </c>
      <c r="E3" s="106"/>
      <c r="F3" s="106"/>
      <c r="G3" s="106"/>
      <c r="H3" s="95" t="s">
        <v>152</v>
      </c>
      <c r="I3" s="107" t="s">
        <v>103</v>
      </c>
      <c r="J3" s="107"/>
      <c r="K3" s="34" t="s">
        <v>101</v>
      </c>
      <c r="L3" s="95" t="s">
        <v>152</v>
      </c>
      <c r="M3" s="108" t="s">
        <v>42</v>
      </c>
      <c r="N3" s="108"/>
      <c r="O3" s="108"/>
      <c r="P3" s="108"/>
      <c r="Q3" s="86" t="s">
        <v>101</v>
      </c>
      <c r="R3" s="96" t="s">
        <v>149</v>
      </c>
    </row>
    <row r="4" spans="1:18" ht="30" thickBot="1" x14ac:dyDescent="0.4">
      <c r="A4" s="86"/>
      <c r="B4" s="86"/>
      <c r="C4" s="26" t="s">
        <v>106</v>
      </c>
      <c r="D4" s="87" t="s">
        <v>38</v>
      </c>
      <c r="E4" s="88" t="s">
        <v>39</v>
      </c>
      <c r="F4" s="89" t="s">
        <v>40</v>
      </c>
      <c r="G4" s="90" t="s">
        <v>41</v>
      </c>
      <c r="H4" s="26" t="s">
        <v>182</v>
      </c>
      <c r="I4" s="26"/>
      <c r="J4" s="26"/>
      <c r="M4" s="26" t="s">
        <v>17</v>
      </c>
      <c r="N4" s="26" t="s">
        <v>18</v>
      </c>
      <c r="O4" s="86" t="s">
        <v>19</v>
      </c>
      <c r="P4" s="86" t="s">
        <v>183</v>
      </c>
      <c r="R4" s="97"/>
    </row>
    <row r="5" spans="1:18" ht="30" thickBot="1" x14ac:dyDescent="0.4">
      <c r="A5" s="25" t="s">
        <v>7</v>
      </c>
      <c r="B5" s="26" t="s">
        <v>1</v>
      </c>
      <c r="I5" s="11" t="s">
        <v>194</v>
      </c>
      <c r="J5" s="11" t="s">
        <v>195</v>
      </c>
      <c r="R5" s="97"/>
    </row>
    <row r="6" spans="1:18" x14ac:dyDescent="0.25">
      <c r="A6" s="91" t="s">
        <v>5</v>
      </c>
      <c r="B6" s="11" t="s">
        <v>8</v>
      </c>
      <c r="C6" s="11">
        <v>21</v>
      </c>
      <c r="D6" s="11">
        <v>0</v>
      </c>
      <c r="E6" s="11">
        <v>3</v>
      </c>
      <c r="F6" s="11">
        <v>7</v>
      </c>
      <c r="G6" s="11">
        <v>11</v>
      </c>
      <c r="H6" s="11" t="s">
        <v>41</v>
      </c>
      <c r="I6" s="11">
        <f>'Credibility assessment'!L3</f>
        <v>0.13592233009708751</v>
      </c>
      <c r="J6" s="11" t="s">
        <v>137</v>
      </c>
      <c r="K6" s="11" t="s">
        <v>161</v>
      </c>
      <c r="L6" s="11" t="s">
        <v>41</v>
      </c>
      <c r="M6" s="11">
        <v>0.88200000000000001</v>
      </c>
      <c r="N6" s="11">
        <v>0.91</v>
      </c>
      <c r="O6" s="11">
        <f t="shared" ref="O6:O11" si="0">N6-M6</f>
        <v>2.8000000000000025E-2</v>
      </c>
      <c r="P6" s="11" t="s">
        <v>136</v>
      </c>
      <c r="Q6" s="11" t="s">
        <v>140</v>
      </c>
      <c r="R6" s="99" t="s">
        <v>41</v>
      </c>
    </row>
    <row r="7" spans="1:18" ht="20" thickBot="1" x14ac:dyDescent="0.3">
      <c r="A7" s="92"/>
      <c r="B7" s="11" t="s">
        <v>9</v>
      </c>
      <c r="C7" s="11">
        <v>19</v>
      </c>
      <c r="D7" s="11">
        <v>0</v>
      </c>
      <c r="E7" s="11">
        <v>3</v>
      </c>
      <c r="F7" s="11">
        <v>6</v>
      </c>
      <c r="G7" s="11">
        <v>10</v>
      </c>
      <c r="H7" s="11" t="s">
        <v>41</v>
      </c>
      <c r="I7" s="11">
        <f>'Credibility assessment'!L4</f>
        <v>0.1984126984126986</v>
      </c>
      <c r="J7" s="11" t="s">
        <v>137</v>
      </c>
      <c r="K7" s="11" t="s">
        <v>161</v>
      </c>
      <c r="L7" s="11" t="s">
        <v>41</v>
      </c>
      <c r="M7" s="11">
        <v>0.89100000000000001</v>
      </c>
      <c r="N7" s="11">
        <v>0.91600000000000004</v>
      </c>
      <c r="O7" s="11">
        <f t="shared" si="0"/>
        <v>2.5000000000000022E-2</v>
      </c>
      <c r="P7" s="11" t="s">
        <v>136</v>
      </c>
      <c r="Q7" s="11" t="s">
        <v>140</v>
      </c>
      <c r="R7" s="99"/>
    </row>
    <row r="8" spans="1:18" x14ac:dyDescent="0.25">
      <c r="A8" s="91" t="s">
        <v>6</v>
      </c>
      <c r="B8" s="11" t="s">
        <v>8</v>
      </c>
      <c r="C8" s="11">
        <v>7</v>
      </c>
      <c r="D8" s="11">
        <v>1</v>
      </c>
      <c r="E8" s="11">
        <v>0</v>
      </c>
      <c r="F8" s="11">
        <v>4</v>
      </c>
      <c r="G8" s="11">
        <v>2</v>
      </c>
      <c r="H8" s="11" t="s">
        <v>40</v>
      </c>
      <c r="I8" s="11">
        <f>'Credibility assessment'!L5</f>
        <v>0.30568720379146924</v>
      </c>
      <c r="J8" s="11" t="s">
        <v>136</v>
      </c>
      <c r="K8" s="11" t="s">
        <v>140</v>
      </c>
      <c r="L8" s="11" t="s">
        <v>40</v>
      </c>
      <c r="M8" s="11">
        <v>0.78100000000000003</v>
      </c>
      <c r="N8" s="11">
        <v>0.95</v>
      </c>
      <c r="O8" s="11">
        <f t="shared" si="0"/>
        <v>0.16899999999999993</v>
      </c>
      <c r="P8" s="11" t="s">
        <v>137</v>
      </c>
      <c r="Q8" s="11" t="s">
        <v>161</v>
      </c>
      <c r="R8" s="98" t="s">
        <v>41</v>
      </c>
    </row>
    <row r="9" spans="1:18" ht="20" thickBot="1" x14ac:dyDescent="0.3">
      <c r="A9" s="92"/>
      <c r="B9" s="11" t="s">
        <v>9</v>
      </c>
      <c r="C9" s="11">
        <v>6</v>
      </c>
      <c r="D9" s="11">
        <v>1</v>
      </c>
      <c r="E9" s="11">
        <v>0</v>
      </c>
      <c r="F9" s="11">
        <v>4</v>
      </c>
      <c r="G9" s="11">
        <v>1</v>
      </c>
      <c r="H9" s="11" t="s">
        <v>40</v>
      </c>
      <c r="I9" s="11">
        <f>'Credibility assessment'!L6</f>
        <v>0.56097560975609639</v>
      </c>
      <c r="J9" s="11" t="s">
        <v>136</v>
      </c>
      <c r="K9" s="11" t="s">
        <v>140</v>
      </c>
      <c r="L9" s="11" t="s">
        <v>40</v>
      </c>
      <c r="M9" s="11">
        <v>0.92</v>
      </c>
      <c r="N9" s="11">
        <v>0.94299999999999995</v>
      </c>
      <c r="O9" s="11">
        <f t="shared" si="0"/>
        <v>2.2999999999999909E-2</v>
      </c>
      <c r="P9" s="11" t="s">
        <v>136</v>
      </c>
      <c r="Q9" s="11" t="s">
        <v>140</v>
      </c>
      <c r="R9" s="98"/>
    </row>
    <row r="10" spans="1:18" x14ac:dyDescent="0.25">
      <c r="A10" s="91" t="s">
        <v>15</v>
      </c>
      <c r="B10" s="11" t="s">
        <v>8</v>
      </c>
      <c r="C10" s="11">
        <v>4</v>
      </c>
      <c r="D10" s="11">
        <v>1</v>
      </c>
      <c r="E10" s="11">
        <v>0</v>
      </c>
      <c r="F10" s="11">
        <v>3</v>
      </c>
      <c r="G10" s="11">
        <v>0</v>
      </c>
      <c r="H10" s="11" t="s">
        <v>40</v>
      </c>
      <c r="I10" s="11">
        <f>'Credibility assessment'!L7</f>
        <v>0.50805270863836005</v>
      </c>
      <c r="J10" s="11" t="s">
        <v>136</v>
      </c>
      <c r="K10" s="11" t="s">
        <v>140</v>
      </c>
      <c r="L10" s="11" t="s">
        <v>40</v>
      </c>
      <c r="M10" s="11">
        <v>0.88200000000000001</v>
      </c>
      <c r="N10" s="11">
        <v>0.90600000000000003</v>
      </c>
      <c r="O10" s="11">
        <f t="shared" si="0"/>
        <v>2.4000000000000021E-2</v>
      </c>
      <c r="P10" s="11" t="s">
        <v>136</v>
      </c>
      <c r="Q10" s="11" t="s">
        <v>140</v>
      </c>
      <c r="R10" s="98" t="s">
        <v>40</v>
      </c>
    </row>
    <row r="11" spans="1:18" ht="20" thickBot="1" x14ac:dyDescent="0.3">
      <c r="A11" s="92"/>
      <c r="B11" s="11" t="s">
        <v>9</v>
      </c>
      <c r="C11" s="11">
        <v>4</v>
      </c>
      <c r="D11" s="11">
        <v>1</v>
      </c>
      <c r="E11" s="11">
        <v>0</v>
      </c>
      <c r="F11" s="11">
        <v>3</v>
      </c>
      <c r="G11" s="11">
        <v>0</v>
      </c>
      <c r="H11" s="11" t="s">
        <v>40</v>
      </c>
      <c r="I11" s="11">
        <f>'Credibility assessment'!L8</f>
        <v>0.51199999999999957</v>
      </c>
      <c r="J11" s="11" t="s">
        <v>136</v>
      </c>
      <c r="K11" s="11" t="s">
        <v>140</v>
      </c>
      <c r="L11" s="11" t="s">
        <v>40</v>
      </c>
      <c r="M11" s="11">
        <v>0.89900000000000002</v>
      </c>
      <c r="N11" s="11">
        <v>0.96299999999999997</v>
      </c>
      <c r="O11" s="11">
        <f t="shared" si="0"/>
        <v>6.3999999999999946E-2</v>
      </c>
      <c r="P11" s="11" t="s">
        <v>136</v>
      </c>
      <c r="Q11" s="11" t="s">
        <v>140</v>
      </c>
      <c r="R11" s="98"/>
    </row>
    <row r="12" spans="1:18" ht="30" thickBot="1" x14ac:dyDescent="0.4">
      <c r="A12" s="84"/>
      <c r="R12" s="96"/>
    </row>
    <row r="13" spans="1:18" ht="30" thickBot="1" x14ac:dyDescent="0.4">
      <c r="A13" s="85" t="s">
        <v>24</v>
      </c>
      <c r="R13" s="96"/>
    </row>
    <row r="14" spans="1:18" x14ac:dyDescent="0.25">
      <c r="A14" s="91" t="s">
        <v>20</v>
      </c>
      <c r="B14" s="11" t="s">
        <v>8</v>
      </c>
      <c r="C14" s="11">
        <v>13</v>
      </c>
      <c r="D14" s="11">
        <v>1</v>
      </c>
      <c r="E14" s="11">
        <v>1</v>
      </c>
      <c r="F14" s="11">
        <v>6</v>
      </c>
      <c r="G14" s="11">
        <v>5</v>
      </c>
      <c r="H14" s="11" t="s">
        <v>40</v>
      </c>
      <c r="I14" s="11">
        <f>'Credibility assessment'!L11</f>
        <v>0.18577075098814247</v>
      </c>
      <c r="J14" s="11" t="s">
        <v>137</v>
      </c>
      <c r="K14" s="11" t="s">
        <v>161</v>
      </c>
      <c r="L14" s="11" t="s">
        <v>41</v>
      </c>
      <c r="M14">
        <v>0.878</v>
      </c>
      <c r="N14">
        <v>0.92500000000000004</v>
      </c>
      <c r="O14" s="11">
        <f t="shared" ref="O14:O21" si="1">N14-M14</f>
        <v>4.7000000000000042E-2</v>
      </c>
      <c r="P14" s="11" t="s">
        <v>136</v>
      </c>
      <c r="Q14" s="11" t="s">
        <v>140</v>
      </c>
      <c r="R14" s="99" t="s">
        <v>41</v>
      </c>
    </row>
    <row r="15" spans="1:18" ht="20" thickBot="1" x14ac:dyDescent="0.3">
      <c r="A15" s="92"/>
      <c r="B15" s="11" t="s">
        <v>9</v>
      </c>
      <c r="C15" s="11">
        <v>13</v>
      </c>
      <c r="D15" s="11">
        <v>1</v>
      </c>
      <c r="E15" s="11">
        <v>1</v>
      </c>
      <c r="F15" s="11">
        <v>6</v>
      </c>
      <c r="G15" s="11">
        <v>5</v>
      </c>
      <c r="H15" s="11" t="s">
        <v>40</v>
      </c>
      <c r="I15" s="11">
        <f>'Credibility assessment'!L12</f>
        <v>0.18750000000000017</v>
      </c>
      <c r="J15" s="11" t="s">
        <v>137</v>
      </c>
      <c r="K15" s="11" t="s">
        <v>161</v>
      </c>
      <c r="L15" s="11" t="s">
        <v>41</v>
      </c>
      <c r="M15">
        <v>0.88200000000000001</v>
      </c>
      <c r="N15">
        <v>0.90600000000000003</v>
      </c>
      <c r="O15" s="11">
        <f t="shared" si="1"/>
        <v>2.4000000000000021E-2</v>
      </c>
      <c r="P15" s="11" t="s">
        <v>136</v>
      </c>
      <c r="Q15" s="11" t="s">
        <v>140</v>
      </c>
      <c r="R15" s="99"/>
    </row>
    <row r="16" spans="1:18" x14ac:dyDescent="0.25">
      <c r="A16" s="91" t="s">
        <v>21</v>
      </c>
      <c r="B16" s="11" t="s">
        <v>8</v>
      </c>
      <c r="C16" s="11">
        <v>7</v>
      </c>
      <c r="D16" s="11">
        <v>1</v>
      </c>
      <c r="E16" s="11">
        <v>1</v>
      </c>
      <c r="F16" s="11">
        <v>3</v>
      </c>
      <c r="G16" s="11">
        <v>2</v>
      </c>
      <c r="H16" s="11" t="s">
        <v>40</v>
      </c>
      <c r="I16" s="11">
        <f>'Credibility assessment'!L13</f>
        <v>0.61904761904761907</v>
      </c>
      <c r="J16" s="11" t="s">
        <v>136</v>
      </c>
      <c r="K16" s="11" t="s">
        <v>140</v>
      </c>
      <c r="L16" s="11" t="s">
        <v>40</v>
      </c>
      <c r="M16">
        <v>0.83799999999999997</v>
      </c>
      <c r="N16">
        <v>0.89</v>
      </c>
      <c r="O16" s="11">
        <f t="shared" si="1"/>
        <v>5.2000000000000046E-2</v>
      </c>
      <c r="P16" s="11" t="s">
        <v>136</v>
      </c>
      <c r="Q16" s="11" t="s">
        <v>140</v>
      </c>
      <c r="R16" s="98" t="s">
        <v>40</v>
      </c>
    </row>
    <row r="17" spans="1:18" ht="20" thickBot="1" x14ac:dyDescent="0.3">
      <c r="A17" s="92"/>
      <c r="B17" s="11" t="s">
        <v>9</v>
      </c>
      <c r="C17" s="11">
        <v>5</v>
      </c>
      <c r="D17" s="11">
        <v>1</v>
      </c>
      <c r="E17" s="11">
        <v>1</v>
      </c>
      <c r="F17" s="11">
        <v>2</v>
      </c>
      <c r="G17" s="11">
        <v>1</v>
      </c>
      <c r="H17" s="11" t="s">
        <v>40</v>
      </c>
      <c r="I17" s="11">
        <f>'Credibility assessment'!L14</f>
        <v>0.43010752688172033</v>
      </c>
      <c r="J17" s="11" t="s">
        <v>137</v>
      </c>
      <c r="K17" s="11" t="s">
        <v>140</v>
      </c>
      <c r="L17" s="11" t="s">
        <v>40</v>
      </c>
      <c r="M17">
        <v>0.88500000000000001</v>
      </c>
      <c r="N17">
        <v>0.96499999999999997</v>
      </c>
      <c r="O17" s="11">
        <f t="shared" si="1"/>
        <v>7.999999999999996E-2</v>
      </c>
      <c r="P17" s="11" t="s">
        <v>136</v>
      </c>
      <c r="Q17" s="11" t="s">
        <v>140</v>
      </c>
      <c r="R17" s="98"/>
    </row>
    <row r="18" spans="1:18" x14ac:dyDescent="0.25">
      <c r="A18" s="91" t="s">
        <v>22</v>
      </c>
      <c r="B18" s="11" t="s">
        <v>8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 t="s">
        <v>39</v>
      </c>
      <c r="I18" s="11" t="str">
        <f>'Credibility assessment'!L15</f>
        <v>N/A</v>
      </c>
      <c r="J18" s="11" t="s">
        <v>137</v>
      </c>
      <c r="K18" s="11" t="s">
        <v>161</v>
      </c>
      <c r="L18" s="11" t="s">
        <v>40</v>
      </c>
      <c r="M18">
        <v>0.83</v>
      </c>
      <c r="N18">
        <v>0.95</v>
      </c>
      <c r="O18" s="11">
        <f t="shared" si="1"/>
        <v>0.12</v>
      </c>
      <c r="P18" s="11" t="s">
        <v>136</v>
      </c>
      <c r="Q18" s="11" t="s">
        <v>140</v>
      </c>
      <c r="R18" s="99" t="s">
        <v>40</v>
      </c>
    </row>
    <row r="19" spans="1:18" ht="20" thickBot="1" x14ac:dyDescent="0.3">
      <c r="A19" s="92"/>
      <c r="B19" s="11" t="s">
        <v>9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 t="s">
        <v>39</v>
      </c>
      <c r="I19" s="11" t="str">
        <f>'Credibility assessment'!L16</f>
        <v>N/A</v>
      </c>
      <c r="J19" s="11" t="s">
        <v>137</v>
      </c>
      <c r="K19" s="11" t="s">
        <v>161</v>
      </c>
      <c r="L19" s="11" t="s">
        <v>40</v>
      </c>
      <c r="M19">
        <v>0.84</v>
      </c>
      <c r="N19">
        <v>0.93</v>
      </c>
      <c r="O19" s="11">
        <f t="shared" si="1"/>
        <v>9.000000000000008E-2</v>
      </c>
      <c r="P19" s="11" t="s">
        <v>136</v>
      </c>
      <c r="Q19" s="11" t="s">
        <v>140</v>
      </c>
      <c r="R19" s="99"/>
    </row>
    <row r="20" spans="1:18" x14ac:dyDescent="0.25">
      <c r="A20" s="91" t="s">
        <v>23</v>
      </c>
      <c r="B20" s="11" t="s">
        <v>8</v>
      </c>
      <c r="C20" s="11">
        <v>1</v>
      </c>
      <c r="D20" s="11">
        <v>1</v>
      </c>
      <c r="E20" s="11">
        <v>0</v>
      </c>
      <c r="F20" s="11">
        <v>0</v>
      </c>
      <c r="G20" s="11">
        <v>0</v>
      </c>
      <c r="H20" s="11" t="s">
        <v>38</v>
      </c>
      <c r="I20" s="11" t="str">
        <f>'Credibility assessment'!L17</f>
        <v>N/A</v>
      </c>
      <c r="J20" s="11" t="s">
        <v>137</v>
      </c>
      <c r="K20" s="11" t="s">
        <v>161</v>
      </c>
      <c r="L20" s="11" t="s">
        <v>39</v>
      </c>
      <c r="M20">
        <v>0.8</v>
      </c>
      <c r="N20">
        <v>0.88</v>
      </c>
      <c r="O20" s="11">
        <f t="shared" si="1"/>
        <v>7.999999999999996E-2</v>
      </c>
      <c r="P20" s="11" t="s">
        <v>136</v>
      </c>
      <c r="Q20" s="11" t="s">
        <v>140</v>
      </c>
      <c r="R20" s="98" t="s">
        <v>39</v>
      </c>
    </row>
    <row r="21" spans="1:18" ht="20" thickBot="1" x14ac:dyDescent="0.3">
      <c r="A21" s="92"/>
      <c r="B21" s="11" t="s">
        <v>9</v>
      </c>
      <c r="C21" s="11">
        <v>1</v>
      </c>
      <c r="D21" s="11">
        <v>1</v>
      </c>
      <c r="E21" s="11">
        <v>0</v>
      </c>
      <c r="F21" s="11">
        <v>0</v>
      </c>
      <c r="G21" s="11">
        <v>0</v>
      </c>
      <c r="H21" s="11" t="s">
        <v>38</v>
      </c>
      <c r="I21" s="11" t="str">
        <f>'Credibility assessment'!L18</f>
        <v>N/A</v>
      </c>
      <c r="J21" s="11" t="s">
        <v>137</v>
      </c>
      <c r="K21" s="11" t="s">
        <v>161</v>
      </c>
      <c r="L21" s="11" t="s">
        <v>39</v>
      </c>
      <c r="M21">
        <v>0.89</v>
      </c>
      <c r="N21">
        <v>0.96</v>
      </c>
      <c r="O21" s="11">
        <f t="shared" si="1"/>
        <v>6.9999999999999951E-2</v>
      </c>
      <c r="P21" s="11" t="s">
        <v>136</v>
      </c>
      <c r="Q21" s="11" t="s">
        <v>140</v>
      </c>
      <c r="R21" s="98"/>
    </row>
    <row r="22" spans="1:18" ht="30" thickBot="1" x14ac:dyDescent="0.4">
      <c r="M22"/>
      <c r="N22"/>
      <c r="R22" s="96"/>
    </row>
    <row r="23" spans="1:18" ht="30" thickBot="1" x14ac:dyDescent="0.4">
      <c r="A23" s="85" t="s">
        <v>25</v>
      </c>
      <c r="M23"/>
      <c r="N23"/>
      <c r="R23" s="96"/>
    </row>
    <row r="24" spans="1:18" x14ac:dyDescent="0.25">
      <c r="A24" s="91" t="s">
        <v>26</v>
      </c>
      <c r="B24" s="11" t="s">
        <v>8</v>
      </c>
      <c r="C24" s="11">
        <v>9</v>
      </c>
      <c r="D24" s="11">
        <v>0</v>
      </c>
      <c r="E24" s="11">
        <v>2</v>
      </c>
      <c r="F24" s="11">
        <v>2</v>
      </c>
      <c r="G24" s="11">
        <v>5</v>
      </c>
      <c r="H24" s="11" t="s">
        <v>41</v>
      </c>
      <c r="I24" s="11">
        <f>'Credibility assessment'!L21</f>
        <v>0.27203065134099597</v>
      </c>
      <c r="J24" s="11" t="s">
        <v>137</v>
      </c>
      <c r="K24" s="11" t="s">
        <v>161</v>
      </c>
      <c r="L24" s="11" t="s">
        <v>41</v>
      </c>
      <c r="M24">
        <v>0.871</v>
      </c>
      <c r="N24">
        <v>0.94199999999999995</v>
      </c>
      <c r="O24" s="11">
        <f t="shared" ref="O24:O31" si="2">N24-M24</f>
        <v>7.0999999999999952E-2</v>
      </c>
      <c r="P24" s="11" t="s">
        <v>136</v>
      </c>
      <c r="Q24" s="11" t="s">
        <v>140</v>
      </c>
      <c r="R24" s="99" t="s">
        <v>41</v>
      </c>
    </row>
    <row r="25" spans="1:18" ht="20" thickBot="1" x14ac:dyDescent="0.3">
      <c r="A25" s="92"/>
      <c r="B25" s="11" t="s">
        <v>9</v>
      </c>
      <c r="C25" s="11">
        <v>9</v>
      </c>
      <c r="D25" s="11">
        <v>0</v>
      </c>
      <c r="E25" s="11">
        <v>2</v>
      </c>
      <c r="F25" s="11">
        <v>2</v>
      </c>
      <c r="G25" s="11">
        <v>5</v>
      </c>
      <c r="H25" s="11" t="s">
        <v>41</v>
      </c>
      <c r="I25" s="11">
        <f>'Credibility assessment'!L22</f>
        <v>0.33663366336633666</v>
      </c>
      <c r="J25" s="11" t="s">
        <v>136</v>
      </c>
      <c r="K25" s="11" t="s">
        <v>140</v>
      </c>
      <c r="L25" s="11" t="s">
        <v>41</v>
      </c>
      <c r="M25">
        <v>0.86799999999999999</v>
      </c>
      <c r="N25">
        <v>0.90200000000000002</v>
      </c>
      <c r="O25" s="11">
        <f t="shared" si="2"/>
        <v>3.400000000000003E-2</v>
      </c>
      <c r="P25" s="11" t="s">
        <v>136</v>
      </c>
      <c r="Q25" s="11" t="s">
        <v>140</v>
      </c>
      <c r="R25" s="99"/>
    </row>
    <row r="26" spans="1:18" x14ac:dyDescent="0.25">
      <c r="A26" s="91" t="s">
        <v>27</v>
      </c>
      <c r="B26" s="11" t="s">
        <v>8</v>
      </c>
      <c r="C26" s="11">
        <v>5</v>
      </c>
      <c r="D26" s="11">
        <v>0</v>
      </c>
      <c r="E26" s="11">
        <v>1</v>
      </c>
      <c r="F26" s="11">
        <v>1</v>
      </c>
      <c r="G26" s="11">
        <v>2</v>
      </c>
      <c r="H26" s="11" t="s">
        <v>41</v>
      </c>
      <c r="I26" s="11">
        <f>'Credibility assessment'!L23</f>
        <v>0.27205882352941196</v>
      </c>
      <c r="J26" s="11" t="s">
        <v>137</v>
      </c>
      <c r="K26" s="11" t="s">
        <v>161</v>
      </c>
      <c r="L26" s="11" t="s">
        <v>41</v>
      </c>
      <c r="M26">
        <v>0.85299999999999998</v>
      </c>
      <c r="N26">
        <v>0.92700000000000005</v>
      </c>
      <c r="O26" s="11">
        <f t="shared" si="2"/>
        <v>7.4000000000000066E-2</v>
      </c>
      <c r="P26" s="11" t="s">
        <v>136</v>
      </c>
      <c r="Q26" s="11" t="s">
        <v>140</v>
      </c>
      <c r="R26" s="99" t="s">
        <v>41</v>
      </c>
    </row>
    <row r="27" spans="1:18" ht="20" thickBot="1" x14ac:dyDescent="0.3">
      <c r="A27" s="92"/>
      <c r="B27" s="11" t="s">
        <v>9</v>
      </c>
      <c r="C27" s="11">
        <v>5</v>
      </c>
      <c r="D27" s="11">
        <v>0</v>
      </c>
      <c r="E27" s="11">
        <v>1</v>
      </c>
      <c r="F27" s="11">
        <v>1</v>
      </c>
      <c r="G27" s="11">
        <v>2</v>
      </c>
      <c r="H27" s="11" t="s">
        <v>41</v>
      </c>
      <c r="I27" s="11">
        <f>'Credibility assessment'!L24</f>
        <v>0.3111111111111115</v>
      </c>
      <c r="J27" s="11" t="s">
        <v>136</v>
      </c>
      <c r="K27" s="11" t="s">
        <v>140</v>
      </c>
      <c r="L27" s="11" t="s">
        <v>41</v>
      </c>
      <c r="M27">
        <v>0.871</v>
      </c>
      <c r="N27">
        <v>0.92700000000000005</v>
      </c>
      <c r="O27" s="11">
        <f t="shared" si="2"/>
        <v>5.600000000000005E-2</v>
      </c>
      <c r="P27" s="11" t="s">
        <v>136</v>
      </c>
      <c r="Q27" s="11" t="s">
        <v>140</v>
      </c>
      <c r="R27" s="99"/>
    </row>
    <row r="28" spans="1:18" x14ac:dyDescent="0.25">
      <c r="A28" s="91" t="s">
        <v>28</v>
      </c>
      <c r="B28" s="11" t="s">
        <v>8</v>
      </c>
      <c r="C28" s="11">
        <v>8</v>
      </c>
      <c r="D28" s="11">
        <v>0</v>
      </c>
      <c r="E28" s="11">
        <v>2</v>
      </c>
      <c r="F28" s="11">
        <v>4</v>
      </c>
      <c r="G28" s="11">
        <v>2</v>
      </c>
      <c r="H28" s="11" t="s">
        <v>40</v>
      </c>
      <c r="I28" s="11">
        <f>'Credibility assessment'!L25</f>
        <v>0.33548387096774196</v>
      </c>
      <c r="J28" s="11" t="s">
        <v>136</v>
      </c>
      <c r="K28" s="11" t="s">
        <v>140</v>
      </c>
      <c r="L28" s="11" t="s">
        <v>40</v>
      </c>
      <c r="M28">
        <v>0.79500000000000004</v>
      </c>
      <c r="N28">
        <v>0.89900000000000002</v>
      </c>
      <c r="O28" s="11">
        <f t="shared" si="2"/>
        <v>0.10399999999999998</v>
      </c>
      <c r="P28" s="11" t="s">
        <v>136</v>
      </c>
      <c r="Q28" s="11" t="s">
        <v>140</v>
      </c>
      <c r="R28" s="99" t="s">
        <v>40</v>
      </c>
    </row>
    <row r="29" spans="1:18" ht="20" thickBot="1" x14ac:dyDescent="0.3">
      <c r="A29" s="92"/>
      <c r="B29" s="11" t="s">
        <v>9</v>
      </c>
      <c r="C29" s="11">
        <v>8</v>
      </c>
      <c r="D29" s="11">
        <v>0</v>
      </c>
      <c r="E29" s="11">
        <v>2</v>
      </c>
      <c r="F29" s="11">
        <v>2</v>
      </c>
      <c r="G29" s="11">
        <v>2</v>
      </c>
      <c r="H29" s="11" t="s">
        <v>40</v>
      </c>
      <c r="I29" s="11">
        <f>'Credibility assessment'!L26</f>
        <v>0.35643564356435625</v>
      </c>
      <c r="J29" s="11" t="s">
        <v>136</v>
      </c>
      <c r="K29" s="11" t="s">
        <v>140</v>
      </c>
      <c r="L29" s="11" t="s">
        <v>40</v>
      </c>
      <c r="M29">
        <v>0.877</v>
      </c>
      <c r="N29">
        <v>0.94899999999999995</v>
      </c>
      <c r="O29" s="11">
        <f t="shared" si="2"/>
        <v>7.1999999999999953E-2</v>
      </c>
      <c r="P29" s="11" t="s">
        <v>136</v>
      </c>
      <c r="Q29" s="11" t="s">
        <v>140</v>
      </c>
      <c r="R29" s="99"/>
    </row>
    <row r="30" spans="1:18" x14ac:dyDescent="0.25">
      <c r="A30" s="91" t="s">
        <v>29</v>
      </c>
      <c r="B30" s="11" t="s">
        <v>8</v>
      </c>
      <c r="C30" s="11">
        <v>4</v>
      </c>
      <c r="D30" s="11">
        <v>0</v>
      </c>
      <c r="E30" s="11">
        <v>0</v>
      </c>
      <c r="F30" s="11">
        <v>1</v>
      </c>
      <c r="G30" s="11">
        <v>2</v>
      </c>
      <c r="H30" s="11" t="s">
        <v>41</v>
      </c>
      <c r="I30" s="11">
        <f>'Credibility assessment'!L27</f>
        <v>0.39240506329113922</v>
      </c>
      <c r="J30" s="11" t="s">
        <v>136</v>
      </c>
      <c r="K30" s="11" t="s">
        <v>140</v>
      </c>
      <c r="L30" s="11" t="s">
        <v>41</v>
      </c>
      <c r="M30">
        <v>0.76100000000000001</v>
      </c>
      <c r="N30">
        <v>0.97799999999999998</v>
      </c>
      <c r="O30" s="11">
        <f t="shared" si="2"/>
        <v>0.21699999999999997</v>
      </c>
      <c r="P30" s="11" t="s">
        <v>136</v>
      </c>
      <c r="Q30" s="11" t="s">
        <v>161</v>
      </c>
      <c r="R30" s="99" t="s">
        <v>41</v>
      </c>
    </row>
    <row r="31" spans="1:18" ht="20" thickBot="1" x14ac:dyDescent="0.3">
      <c r="A31" s="92"/>
      <c r="B31" s="11" t="s">
        <v>9</v>
      </c>
      <c r="C31" s="11">
        <v>4</v>
      </c>
      <c r="D31" s="11">
        <v>0</v>
      </c>
      <c r="E31" s="11">
        <v>0</v>
      </c>
      <c r="F31" s="11">
        <v>1</v>
      </c>
      <c r="G31" s="11">
        <v>2</v>
      </c>
      <c r="H31" s="11" t="s">
        <v>41</v>
      </c>
      <c r="I31" s="11">
        <f>'Credibility assessment'!L28</f>
        <v>0.50142450142450157</v>
      </c>
      <c r="J31" s="11" t="s">
        <v>136</v>
      </c>
      <c r="K31" s="11" t="s">
        <v>140</v>
      </c>
      <c r="L31" s="11" t="s">
        <v>41</v>
      </c>
      <c r="M31">
        <v>0.75900000000000001</v>
      </c>
      <c r="N31">
        <v>0.93500000000000005</v>
      </c>
      <c r="O31" s="11">
        <f t="shared" si="2"/>
        <v>0.17600000000000005</v>
      </c>
      <c r="P31" s="11" t="s">
        <v>136</v>
      </c>
      <c r="Q31" s="11" t="s">
        <v>140</v>
      </c>
      <c r="R31" s="99"/>
    </row>
    <row r="32" spans="1:18" ht="30" thickBot="1" x14ac:dyDescent="0.4">
      <c r="M32"/>
      <c r="N32"/>
      <c r="R32" s="96"/>
    </row>
    <row r="33" spans="1:18" ht="30" thickBot="1" x14ac:dyDescent="0.4">
      <c r="A33" s="85" t="s">
        <v>30</v>
      </c>
      <c r="M33"/>
      <c r="N33"/>
      <c r="R33" s="96"/>
    </row>
    <row r="34" spans="1:18" x14ac:dyDescent="0.25">
      <c r="A34" s="91" t="s">
        <v>31</v>
      </c>
      <c r="B34" s="11" t="s">
        <v>8</v>
      </c>
      <c r="C34" s="11">
        <v>3</v>
      </c>
      <c r="D34" s="11">
        <v>0</v>
      </c>
      <c r="E34" s="11">
        <v>0</v>
      </c>
      <c r="F34" s="11">
        <v>1</v>
      </c>
      <c r="G34" s="11">
        <v>2</v>
      </c>
      <c r="H34" s="11" t="s">
        <v>41</v>
      </c>
      <c r="I34" s="11">
        <f>'Credibility assessment'!L31</f>
        <v>0.57017543859649134</v>
      </c>
      <c r="J34" s="11" t="s">
        <v>136</v>
      </c>
      <c r="K34" s="11" t="s">
        <v>140</v>
      </c>
      <c r="L34" s="11" t="s">
        <v>41</v>
      </c>
      <c r="M34">
        <v>0.81299999999999994</v>
      </c>
      <c r="N34">
        <v>0.94299999999999995</v>
      </c>
      <c r="O34" s="11">
        <f>N34-M34</f>
        <v>0.13</v>
      </c>
      <c r="P34" s="11" t="s">
        <v>136</v>
      </c>
      <c r="Q34" s="11" t="s">
        <v>140</v>
      </c>
      <c r="R34" s="99" t="s">
        <v>41</v>
      </c>
    </row>
    <row r="35" spans="1:18" ht="20" thickBot="1" x14ac:dyDescent="0.3">
      <c r="A35" s="92"/>
      <c r="B35" s="11" t="s">
        <v>9</v>
      </c>
      <c r="C35" s="11">
        <v>2</v>
      </c>
      <c r="D35" s="11">
        <v>0</v>
      </c>
      <c r="E35" s="11">
        <v>0</v>
      </c>
      <c r="F35" s="11">
        <v>1</v>
      </c>
      <c r="G35" s="11">
        <v>1</v>
      </c>
      <c r="H35" s="11" t="s">
        <v>41</v>
      </c>
      <c r="I35" s="11">
        <f>'Credibility assessment'!L32</f>
        <v>1</v>
      </c>
      <c r="J35" s="11" t="s">
        <v>136</v>
      </c>
      <c r="K35" s="11" t="s">
        <v>140</v>
      </c>
      <c r="L35" s="11" t="s">
        <v>41</v>
      </c>
      <c r="M35">
        <v>0.74</v>
      </c>
      <c r="N35">
        <v>0.97299999999999998</v>
      </c>
      <c r="O35" s="11">
        <f>N35-M35</f>
        <v>0.23299999999999998</v>
      </c>
      <c r="P35" s="11" t="s">
        <v>137</v>
      </c>
      <c r="Q35" s="11" t="s">
        <v>161</v>
      </c>
      <c r="R35" s="99"/>
    </row>
    <row r="36" spans="1:18" x14ac:dyDescent="0.25">
      <c r="A36" s="91" t="s">
        <v>32</v>
      </c>
      <c r="B36" s="11" t="s">
        <v>8</v>
      </c>
      <c r="C36" s="11">
        <v>4</v>
      </c>
      <c r="D36" s="11">
        <v>0</v>
      </c>
      <c r="E36" s="11">
        <v>0</v>
      </c>
      <c r="F36" s="11">
        <v>1</v>
      </c>
      <c r="G36" s="11">
        <v>3</v>
      </c>
      <c r="H36" s="11" t="s">
        <v>41</v>
      </c>
      <c r="I36" s="11">
        <f>'Credibility assessment'!L33</f>
        <v>0.35810810810810867</v>
      </c>
      <c r="J36" s="11" t="s">
        <v>136</v>
      </c>
      <c r="K36" s="11" t="s">
        <v>140</v>
      </c>
      <c r="L36" s="11" t="s">
        <v>41</v>
      </c>
      <c r="M36">
        <v>0.872</v>
      </c>
      <c r="N36">
        <v>0.92500000000000004</v>
      </c>
      <c r="O36" s="11">
        <f>N36-M36</f>
        <v>5.3000000000000047E-2</v>
      </c>
      <c r="P36" s="11" t="s">
        <v>136</v>
      </c>
      <c r="Q36" s="11" t="s">
        <v>140</v>
      </c>
      <c r="R36" s="99" t="s">
        <v>41</v>
      </c>
    </row>
    <row r="37" spans="1:18" ht="20" thickBot="1" x14ac:dyDescent="0.3">
      <c r="A37" s="92"/>
      <c r="B37" s="11" t="s">
        <v>9</v>
      </c>
      <c r="C37" s="11">
        <v>3</v>
      </c>
      <c r="D37" s="11">
        <v>0</v>
      </c>
      <c r="E37" s="11">
        <v>0</v>
      </c>
      <c r="F37" s="11">
        <v>1</v>
      </c>
      <c r="G37" s="11">
        <v>2</v>
      </c>
      <c r="H37" s="11" t="s">
        <v>41</v>
      </c>
      <c r="I37" s="11">
        <f>'Credibility assessment'!L34</f>
        <v>1</v>
      </c>
      <c r="J37" s="11" t="s">
        <v>136</v>
      </c>
      <c r="K37" s="11" t="s">
        <v>140</v>
      </c>
      <c r="L37" s="11" t="s">
        <v>41</v>
      </c>
      <c r="M37">
        <v>0.88500000000000001</v>
      </c>
      <c r="N37">
        <v>0.90800000000000003</v>
      </c>
      <c r="O37" s="11">
        <f>N37-M37</f>
        <v>2.300000000000002E-2</v>
      </c>
      <c r="P37" s="11" t="s">
        <v>136</v>
      </c>
      <c r="Q37" s="11" t="s">
        <v>140</v>
      </c>
      <c r="R37" s="99"/>
    </row>
    <row r="38" spans="1:18" ht="30" thickBot="1" x14ac:dyDescent="0.4">
      <c r="M38"/>
      <c r="N38"/>
      <c r="R38" s="96"/>
    </row>
    <row r="39" spans="1:18" ht="30" thickBot="1" x14ac:dyDescent="0.4">
      <c r="A39" s="85" t="s">
        <v>33</v>
      </c>
      <c r="M39"/>
      <c r="N39"/>
      <c r="R39" s="96"/>
    </row>
    <row r="40" spans="1:18" x14ac:dyDescent="0.25">
      <c r="A40" s="91" t="s">
        <v>34</v>
      </c>
      <c r="B40" s="11" t="s">
        <v>8</v>
      </c>
      <c r="C40" s="11">
        <v>3</v>
      </c>
      <c r="D40" s="11">
        <v>0</v>
      </c>
      <c r="E40" s="11">
        <v>1</v>
      </c>
      <c r="F40" s="11">
        <v>0</v>
      </c>
      <c r="G40" s="11">
        <v>2</v>
      </c>
      <c r="H40" s="11" t="s">
        <v>41</v>
      </c>
      <c r="I40" s="11">
        <f>'Credibility assessment'!L37</f>
        <v>1</v>
      </c>
      <c r="J40" s="11" t="s">
        <v>136</v>
      </c>
      <c r="K40" s="11" t="s">
        <v>140</v>
      </c>
      <c r="L40" s="11" t="s">
        <v>41</v>
      </c>
      <c r="M40">
        <v>0.87</v>
      </c>
      <c r="N40">
        <v>0.93100000000000005</v>
      </c>
      <c r="O40" s="11">
        <f>N40-M40</f>
        <v>6.1000000000000054E-2</v>
      </c>
      <c r="P40" s="11" t="s">
        <v>136</v>
      </c>
      <c r="Q40" s="11" t="s">
        <v>140</v>
      </c>
      <c r="R40" s="99" t="s">
        <v>41</v>
      </c>
    </row>
    <row r="41" spans="1:18" ht="20" thickBot="1" x14ac:dyDescent="0.3">
      <c r="A41" s="92"/>
      <c r="B41" s="11" t="s">
        <v>9</v>
      </c>
      <c r="C41" s="11">
        <v>3</v>
      </c>
      <c r="D41" s="11">
        <v>0</v>
      </c>
      <c r="E41" s="11">
        <v>1</v>
      </c>
      <c r="F41" s="11">
        <v>0</v>
      </c>
      <c r="G41" s="11">
        <v>2</v>
      </c>
      <c r="H41" s="11" t="s">
        <v>41</v>
      </c>
      <c r="I41" s="11">
        <f>'Credibility assessment'!L38</f>
        <v>0.88679245283018848</v>
      </c>
      <c r="J41" s="11" t="s">
        <v>136</v>
      </c>
      <c r="K41" s="11" t="s">
        <v>140</v>
      </c>
      <c r="L41" s="11" t="s">
        <v>41</v>
      </c>
      <c r="M41">
        <v>0.91300000000000003</v>
      </c>
      <c r="N41">
        <v>0.96</v>
      </c>
      <c r="O41" s="11">
        <f>N41-M41</f>
        <v>4.6999999999999931E-2</v>
      </c>
      <c r="P41" s="11" t="s">
        <v>136</v>
      </c>
      <c r="Q41" s="11" t="s">
        <v>140</v>
      </c>
      <c r="R41" s="99"/>
    </row>
    <row r="42" spans="1:18" x14ac:dyDescent="0.25">
      <c r="A42" s="91" t="s">
        <v>35</v>
      </c>
      <c r="B42" s="11" t="s">
        <v>8</v>
      </c>
      <c r="C42" s="11">
        <v>2</v>
      </c>
      <c r="D42" s="11">
        <v>0</v>
      </c>
      <c r="E42" s="11">
        <v>0</v>
      </c>
      <c r="F42" s="11">
        <v>1</v>
      </c>
      <c r="G42" s="11">
        <v>1</v>
      </c>
      <c r="H42" s="11" t="s">
        <v>41</v>
      </c>
      <c r="I42" s="11">
        <f>'Credibility assessment'!L39</f>
        <v>0.8436293436293435</v>
      </c>
      <c r="J42" s="11" t="s">
        <v>136</v>
      </c>
      <c r="K42" s="11" t="s">
        <v>140</v>
      </c>
      <c r="L42" s="11" t="s">
        <v>41</v>
      </c>
      <c r="M42">
        <v>0.55300000000000005</v>
      </c>
      <c r="N42">
        <v>0.99</v>
      </c>
      <c r="O42" s="11">
        <f>N42-M42</f>
        <v>0.43699999999999994</v>
      </c>
      <c r="P42" s="11" t="s">
        <v>137</v>
      </c>
      <c r="Q42" s="11" t="s">
        <v>161</v>
      </c>
      <c r="R42" s="99" t="s">
        <v>41</v>
      </c>
    </row>
    <row r="43" spans="1:18" ht="20" thickBot="1" x14ac:dyDescent="0.3">
      <c r="A43" s="92"/>
      <c r="B43" s="11" t="s">
        <v>9</v>
      </c>
      <c r="C43" s="11">
        <v>2</v>
      </c>
      <c r="D43" s="11">
        <v>0</v>
      </c>
      <c r="E43" s="11">
        <v>0</v>
      </c>
      <c r="F43" s="11">
        <v>1</v>
      </c>
      <c r="G43" s="11">
        <v>1</v>
      </c>
      <c r="H43" s="11" t="s">
        <v>41</v>
      </c>
      <c r="I43" s="11">
        <f>'Credibility assessment'!L40</f>
        <v>1</v>
      </c>
      <c r="J43" s="11" t="s">
        <v>136</v>
      </c>
      <c r="K43" s="11" t="s">
        <v>140</v>
      </c>
      <c r="L43" s="11" t="s">
        <v>41</v>
      </c>
      <c r="M43">
        <v>0.55200000000000005</v>
      </c>
      <c r="N43">
        <v>0.97899999999999998</v>
      </c>
      <c r="O43" s="11">
        <f>N43-M43</f>
        <v>0.42699999999999994</v>
      </c>
      <c r="P43" s="11" t="s">
        <v>137</v>
      </c>
      <c r="Q43" s="11" t="s">
        <v>161</v>
      </c>
      <c r="R43" s="99"/>
    </row>
  </sheetData>
  <mergeCells count="18">
    <mergeCell ref="R42:R43"/>
    <mergeCell ref="R28:R29"/>
    <mergeCell ref="R16:R17"/>
    <mergeCell ref="R20:R21"/>
    <mergeCell ref="I3:J3"/>
    <mergeCell ref="M3:P3"/>
    <mergeCell ref="R26:R27"/>
    <mergeCell ref="R30:R31"/>
    <mergeCell ref="R34:R35"/>
    <mergeCell ref="R36:R37"/>
    <mergeCell ref="R40:R41"/>
    <mergeCell ref="R10:R11"/>
    <mergeCell ref="R14:R15"/>
    <mergeCell ref="R18:R19"/>
    <mergeCell ref="R24:R25"/>
    <mergeCell ref="D3:G3"/>
    <mergeCell ref="R6:R7"/>
    <mergeCell ref="R8:R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4A06-DB15-7044-9850-B7C3C39782AD}">
  <dimension ref="A1:AK58"/>
  <sheetViews>
    <sheetView topLeftCell="A5" zoomScaleNormal="94" workbookViewId="0">
      <selection activeCell="M36" sqref="M36"/>
    </sheetView>
  </sheetViews>
  <sheetFormatPr baseColWidth="10" defaultRowHeight="21" x14ac:dyDescent="0.25"/>
  <cols>
    <col min="1" max="1" width="38.33203125" style="12" customWidth="1"/>
    <col min="2" max="2" width="15.33203125" style="12" customWidth="1"/>
    <col min="3" max="3" width="15.83203125" style="12" customWidth="1"/>
    <col min="4" max="4" width="16.1640625" style="12" customWidth="1"/>
    <col min="5" max="5" width="8" style="12" customWidth="1"/>
    <col min="6" max="6" width="10.83203125" style="12"/>
    <col min="7" max="7" width="8.33203125" style="12" customWidth="1"/>
    <col min="8" max="8" width="13.33203125" style="12" customWidth="1"/>
    <col min="9" max="9" width="10" style="12" customWidth="1"/>
    <col min="10" max="10" width="15.6640625" style="12" customWidth="1"/>
    <col min="11" max="14" width="10.83203125" style="12"/>
    <col min="15" max="15" width="17" style="12" customWidth="1"/>
    <col min="16" max="16" width="24" style="12" customWidth="1"/>
    <col min="17" max="17" width="10.6640625" style="12" customWidth="1"/>
    <col min="18" max="18" width="18.1640625" style="12" customWidth="1"/>
    <col min="19" max="19" width="8" style="12" customWidth="1"/>
    <col min="20" max="20" width="17" style="12" customWidth="1"/>
    <col min="21" max="21" width="17.1640625" style="12" customWidth="1"/>
    <col min="22" max="22" width="28.1640625" style="12" customWidth="1"/>
    <col min="23" max="28" width="10.83203125" style="12"/>
    <col min="29" max="29" width="17.1640625" style="12" customWidth="1"/>
    <col min="30" max="30" width="28.1640625" style="12" customWidth="1"/>
    <col min="31" max="36" width="10.83203125" style="12"/>
    <col min="37" max="37" width="14.5" style="12" customWidth="1"/>
    <col min="38" max="16384" width="10.83203125" style="12"/>
  </cols>
  <sheetData>
    <row r="1" spans="1:37" ht="22" thickBot="1" x14ac:dyDescent="0.3">
      <c r="A1" s="119" t="s">
        <v>101</v>
      </c>
      <c r="B1" s="41"/>
      <c r="C1" s="23" t="s">
        <v>43</v>
      </c>
      <c r="D1" s="23" t="s">
        <v>112</v>
      </c>
      <c r="E1" s="22" t="s">
        <v>107</v>
      </c>
      <c r="F1" s="23" t="s">
        <v>134</v>
      </c>
      <c r="G1" s="117" t="s">
        <v>102</v>
      </c>
      <c r="H1" s="122"/>
      <c r="I1" s="122"/>
      <c r="J1" s="118"/>
      <c r="K1" s="117" t="s">
        <v>101</v>
      </c>
      <c r="L1" s="118"/>
      <c r="M1" s="21" t="s">
        <v>105</v>
      </c>
      <c r="N1" s="36" t="s">
        <v>101</v>
      </c>
      <c r="O1" s="45" t="s">
        <v>152</v>
      </c>
      <c r="P1" s="109" t="s">
        <v>101</v>
      </c>
      <c r="Q1" s="115" t="s">
        <v>104</v>
      </c>
      <c r="R1" s="116"/>
      <c r="S1" s="117" t="s">
        <v>101</v>
      </c>
      <c r="T1" s="118"/>
      <c r="U1" s="45" t="s">
        <v>149</v>
      </c>
      <c r="V1" s="109" t="s">
        <v>101</v>
      </c>
      <c r="W1" s="114" t="s">
        <v>104</v>
      </c>
      <c r="X1" s="115"/>
      <c r="Y1" s="115"/>
      <c r="Z1" s="116"/>
      <c r="AA1" s="117" t="s">
        <v>101</v>
      </c>
      <c r="AB1" s="118"/>
      <c r="AC1" s="45" t="s">
        <v>149</v>
      </c>
      <c r="AD1" s="109" t="s">
        <v>101</v>
      </c>
      <c r="AE1" s="114" t="s">
        <v>104</v>
      </c>
      <c r="AF1" s="115"/>
      <c r="AG1" s="115"/>
      <c r="AH1" s="116"/>
      <c r="AI1" s="117" t="s">
        <v>101</v>
      </c>
      <c r="AJ1" s="118"/>
      <c r="AK1" s="45" t="s">
        <v>149</v>
      </c>
    </row>
    <row r="2" spans="1:37" ht="22" customHeight="1" thickBot="1" x14ac:dyDescent="0.3">
      <c r="A2" s="120"/>
      <c r="G2" s="31" t="s">
        <v>40</v>
      </c>
      <c r="H2" s="32" t="s">
        <v>39</v>
      </c>
      <c r="I2" s="33" t="s">
        <v>38</v>
      </c>
      <c r="J2" s="28" t="s">
        <v>135</v>
      </c>
      <c r="K2" s="36" t="s">
        <v>159</v>
      </c>
      <c r="L2" s="35" t="s">
        <v>142</v>
      </c>
      <c r="M2" s="21" t="s">
        <v>148</v>
      </c>
      <c r="N2" s="39" t="s">
        <v>142</v>
      </c>
      <c r="O2" s="46"/>
      <c r="P2" s="110"/>
      <c r="Q2" s="21" t="s">
        <v>144</v>
      </c>
      <c r="R2" s="21" t="s">
        <v>145</v>
      </c>
      <c r="S2" s="35" t="s">
        <v>147</v>
      </c>
      <c r="T2" s="35" t="s">
        <v>142</v>
      </c>
      <c r="U2" s="46"/>
      <c r="V2" s="110"/>
      <c r="W2" s="21" t="s">
        <v>143</v>
      </c>
      <c r="X2" s="21" t="s">
        <v>144</v>
      </c>
      <c r="Y2" s="21" t="s">
        <v>145</v>
      </c>
      <c r="Z2" s="21" t="s">
        <v>154</v>
      </c>
      <c r="AA2" s="35" t="s">
        <v>147</v>
      </c>
      <c r="AB2" s="35" t="s">
        <v>142</v>
      </c>
      <c r="AC2" s="46"/>
      <c r="AD2" s="110"/>
      <c r="AE2" s="21" t="s">
        <v>143</v>
      </c>
      <c r="AF2" s="21" t="s">
        <v>144</v>
      </c>
      <c r="AG2" s="21" t="s">
        <v>145</v>
      </c>
      <c r="AH2" s="21" t="s">
        <v>154</v>
      </c>
      <c r="AI2" s="35" t="s">
        <v>147</v>
      </c>
      <c r="AJ2" s="35" t="s">
        <v>142</v>
      </c>
      <c r="AK2" s="46"/>
    </row>
    <row r="3" spans="1:37" ht="22" customHeight="1" thickBot="1" x14ac:dyDescent="0.3">
      <c r="A3" s="121"/>
      <c r="B3" s="42" t="s">
        <v>1</v>
      </c>
      <c r="C3" s="42"/>
      <c r="O3" s="47"/>
      <c r="P3" s="111"/>
      <c r="U3" s="47"/>
      <c r="V3" s="111"/>
      <c r="AC3" s="47"/>
      <c r="AD3" s="111"/>
      <c r="AK3" s="47"/>
    </row>
    <row r="4" spans="1:37" ht="29" customHeight="1" x14ac:dyDescent="0.25">
      <c r="A4" s="112" t="s">
        <v>150</v>
      </c>
      <c r="B4" s="12" t="s">
        <v>8</v>
      </c>
      <c r="C4" s="12" t="s">
        <v>114</v>
      </c>
      <c r="D4" s="12" t="s">
        <v>138</v>
      </c>
      <c r="E4" s="12">
        <v>17</v>
      </c>
      <c r="F4" s="12" t="s">
        <v>40</v>
      </c>
      <c r="G4" s="12">
        <v>8</v>
      </c>
      <c r="H4" s="12">
        <v>3</v>
      </c>
      <c r="I4" s="12">
        <v>0</v>
      </c>
      <c r="J4" s="12">
        <f>G4/E4</f>
        <v>0.47058823529411764</v>
      </c>
      <c r="K4" s="12" t="s">
        <v>139</v>
      </c>
      <c r="L4" s="12" t="s">
        <v>161</v>
      </c>
      <c r="M4" s="12" t="s">
        <v>137</v>
      </c>
      <c r="N4" s="12" t="s">
        <v>140</v>
      </c>
      <c r="O4" s="40" t="s">
        <v>41</v>
      </c>
      <c r="P4" s="112" t="s">
        <v>151</v>
      </c>
      <c r="Q4" s="12" t="s">
        <v>136</v>
      </c>
      <c r="R4" s="12" t="s">
        <v>146</v>
      </c>
      <c r="S4" s="12">
        <v>2</v>
      </c>
      <c r="T4" s="12" t="s">
        <v>140</v>
      </c>
      <c r="U4" s="40" t="s">
        <v>41</v>
      </c>
      <c r="V4" s="112" t="s">
        <v>153</v>
      </c>
      <c r="W4" s="79"/>
      <c r="X4" s="79"/>
      <c r="Y4" s="79"/>
      <c r="Z4" s="79"/>
      <c r="AA4" s="79"/>
      <c r="AB4" s="79"/>
      <c r="AC4" s="40"/>
      <c r="AD4" s="112" t="s">
        <v>155</v>
      </c>
      <c r="AE4" s="79"/>
      <c r="AF4" s="79"/>
      <c r="AG4" s="79"/>
      <c r="AH4" s="79"/>
      <c r="AI4" s="79"/>
      <c r="AJ4" s="79"/>
      <c r="AK4" s="40"/>
    </row>
    <row r="5" spans="1:37" ht="21" customHeight="1" x14ac:dyDescent="0.25">
      <c r="A5" s="113"/>
      <c r="B5" s="12" t="s">
        <v>9</v>
      </c>
      <c r="C5" s="12" t="s">
        <v>114</v>
      </c>
      <c r="D5" s="12" t="s">
        <v>138</v>
      </c>
      <c r="E5" s="12">
        <v>17</v>
      </c>
      <c r="F5" s="12" t="s">
        <v>40</v>
      </c>
      <c r="G5" s="12">
        <v>8</v>
      </c>
      <c r="H5" s="12">
        <v>3</v>
      </c>
      <c r="I5" s="12">
        <v>0</v>
      </c>
      <c r="J5" s="12">
        <f>G5/E5</f>
        <v>0.47058823529411764</v>
      </c>
      <c r="K5" s="12" t="s">
        <v>139</v>
      </c>
      <c r="L5" s="12" t="s">
        <v>161</v>
      </c>
      <c r="M5" s="12" t="s">
        <v>137</v>
      </c>
      <c r="N5" s="12" t="s">
        <v>140</v>
      </c>
      <c r="O5" s="40" t="s">
        <v>41</v>
      </c>
      <c r="P5" s="113"/>
      <c r="Q5" s="12" t="s">
        <v>136</v>
      </c>
      <c r="R5" s="12" t="s">
        <v>146</v>
      </c>
      <c r="S5" s="12">
        <v>2</v>
      </c>
      <c r="T5" s="12" t="s">
        <v>140</v>
      </c>
      <c r="U5" s="40" t="s">
        <v>41</v>
      </c>
      <c r="V5" s="113"/>
      <c r="W5" s="79"/>
      <c r="X5" s="79"/>
      <c r="Y5" s="79"/>
      <c r="Z5" s="79"/>
      <c r="AA5" s="79"/>
      <c r="AB5" s="79"/>
      <c r="AC5" s="40"/>
      <c r="AD5" s="113"/>
      <c r="AE5" s="79"/>
      <c r="AF5" s="79"/>
      <c r="AG5" s="79"/>
      <c r="AH5" s="79"/>
      <c r="AI5" s="79"/>
      <c r="AJ5" s="79"/>
      <c r="AK5" s="40"/>
    </row>
    <row r="6" spans="1:37" ht="21" customHeight="1" x14ac:dyDescent="0.25">
      <c r="A6" s="113"/>
      <c r="B6" s="12" t="s">
        <v>8</v>
      </c>
      <c r="C6" s="12" t="s">
        <v>113</v>
      </c>
      <c r="D6" s="12" t="s">
        <v>138</v>
      </c>
      <c r="E6" s="12">
        <v>6</v>
      </c>
      <c r="F6" s="12" t="s">
        <v>40</v>
      </c>
      <c r="G6" s="12">
        <v>5</v>
      </c>
      <c r="H6" s="12">
        <v>1</v>
      </c>
      <c r="I6" s="12">
        <v>0</v>
      </c>
      <c r="J6" s="12">
        <f t="shared" ref="J6:J10" si="0">G6/E6</f>
        <v>0.83333333333333337</v>
      </c>
      <c r="K6" s="12" t="s">
        <v>136</v>
      </c>
      <c r="L6" s="12" t="s">
        <v>158</v>
      </c>
      <c r="M6" s="12" t="s">
        <v>137</v>
      </c>
      <c r="N6" s="12" t="s">
        <v>140</v>
      </c>
      <c r="O6" s="40" t="s">
        <v>39</v>
      </c>
      <c r="P6" s="113"/>
      <c r="Q6" s="12" t="s">
        <v>166</v>
      </c>
      <c r="R6" s="12" t="s">
        <v>160</v>
      </c>
      <c r="S6" s="12">
        <v>0</v>
      </c>
      <c r="T6" s="12" t="s">
        <v>161</v>
      </c>
      <c r="U6" s="40" t="s">
        <v>40</v>
      </c>
      <c r="V6" s="113"/>
      <c r="W6" s="79"/>
      <c r="X6" s="79"/>
      <c r="Y6" s="79"/>
      <c r="Z6" s="79"/>
      <c r="AA6" s="79"/>
      <c r="AB6" s="79"/>
      <c r="AC6" s="40"/>
      <c r="AD6" s="113"/>
      <c r="AE6" s="79"/>
      <c r="AF6" s="79"/>
      <c r="AG6" s="79"/>
      <c r="AH6" s="79"/>
      <c r="AI6" s="79"/>
      <c r="AJ6" s="79"/>
      <c r="AK6" s="40"/>
    </row>
    <row r="7" spans="1:37" ht="21" customHeight="1" x14ac:dyDescent="0.25">
      <c r="A7" s="113"/>
      <c r="B7" s="12" t="s">
        <v>9</v>
      </c>
      <c r="C7" s="12" t="s">
        <v>113</v>
      </c>
      <c r="D7" s="12" t="s">
        <v>138</v>
      </c>
      <c r="E7" s="12">
        <v>6</v>
      </c>
      <c r="F7" s="12" t="s">
        <v>40</v>
      </c>
      <c r="G7" s="12">
        <v>5</v>
      </c>
      <c r="H7" s="12">
        <v>1</v>
      </c>
      <c r="I7" s="12">
        <v>0</v>
      </c>
      <c r="J7" s="12">
        <f t="shared" si="0"/>
        <v>0.83333333333333337</v>
      </c>
      <c r="K7" s="12" t="s">
        <v>136</v>
      </c>
      <c r="L7" s="12" t="s">
        <v>158</v>
      </c>
      <c r="M7" s="12" t="s">
        <v>137</v>
      </c>
      <c r="N7" s="12" t="s">
        <v>140</v>
      </c>
      <c r="O7" s="40" t="s">
        <v>39</v>
      </c>
      <c r="P7" s="113"/>
      <c r="Q7" s="12" t="s">
        <v>166</v>
      </c>
      <c r="R7" s="12" t="s">
        <v>160</v>
      </c>
      <c r="S7" s="12">
        <v>0</v>
      </c>
      <c r="T7" s="12" t="s">
        <v>161</v>
      </c>
      <c r="U7" s="40" t="s">
        <v>40</v>
      </c>
      <c r="V7" s="113"/>
      <c r="W7" s="79"/>
      <c r="X7" s="79"/>
      <c r="Y7" s="79"/>
      <c r="Z7" s="79"/>
      <c r="AA7" s="79"/>
      <c r="AB7" s="79"/>
      <c r="AC7" s="40"/>
      <c r="AD7" s="113"/>
      <c r="AE7" s="79"/>
      <c r="AF7" s="79"/>
      <c r="AG7" s="79"/>
      <c r="AH7" s="79"/>
      <c r="AI7" s="79"/>
      <c r="AJ7" s="79"/>
      <c r="AK7" s="40"/>
    </row>
    <row r="8" spans="1:37" ht="21" customHeight="1" x14ac:dyDescent="0.25">
      <c r="A8" s="113"/>
      <c r="B8" s="12" t="s">
        <v>8</v>
      </c>
      <c r="C8" s="12" t="s">
        <v>115</v>
      </c>
      <c r="D8" s="12" t="s">
        <v>138</v>
      </c>
      <c r="E8" s="12">
        <v>5</v>
      </c>
      <c r="F8" s="12" t="s">
        <v>40</v>
      </c>
      <c r="G8" s="12">
        <v>1</v>
      </c>
      <c r="H8" s="12">
        <v>3</v>
      </c>
      <c r="I8" s="12">
        <v>1</v>
      </c>
      <c r="J8" s="12">
        <f t="shared" si="0"/>
        <v>0.2</v>
      </c>
      <c r="K8" s="12" t="s">
        <v>137</v>
      </c>
      <c r="L8" s="12" t="s">
        <v>161</v>
      </c>
      <c r="M8" s="12" t="s">
        <v>137</v>
      </c>
      <c r="N8" s="12" t="s">
        <v>140</v>
      </c>
      <c r="O8" s="40" t="s">
        <v>41</v>
      </c>
      <c r="P8" s="113"/>
      <c r="Q8" s="12" t="s">
        <v>166</v>
      </c>
      <c r="R8" s="12" t="s">
        <v>167</v>
      </c>
      <c r="S8" s="12">
        <v>0</v>
      </c>
      <c r="T8" s="12" t="s">
        <v>161</v>
      </c>
      <c r="U8" s="40" t="s">
        <v>41</v>
      </c>
      <c r="V8" s="113"/>
      <c r="W8" s="79"/>
      <c r="X8" s="79"/>
      <c r="Y8" s="79"/>
      <c r="Z8" s="79"/>
      <c r="AA8" s="79"/>
      <c r="AB8" s="79"/>
      <c r="AC8" s="40"/>
      <c r="AD8" s="113"/>
      <c r="AE8" s="79"/>
      <c r="AF8" s="79"/>
      <c r="AG8" s="79"/>
      <c r="AH8" s="79"/>
      <c r="AI8" s="79"/>
      <c r="AJ8" s="79"/>
      <c r="AK8" s="40"/>
    </row>
    <row r="9" spans="1:37" ht="21" customHeight="1" x14ac:dyDescent="0.25">
      <c r="A9" s="113"/>
      <c r="B9" s="12" t="s">
        <v>9</v>
      </c>
      <c r="C9" s="12" t="s">
        <v>115</v>
      </c>
      <c r="D9" s="12" t="s">
        <v>138</v>
      </c>
      <c r="E9" s="12">
        <v>5</v>
      </c>
      <c r="F9" s="12" t="s">
        <v>40</v>
      </c>
      <c r="G9" s="12">
        <v>1</v>
      </c>
      <c r="H9" s="12">
        <v>3</v>
      </c>
      <c r="I9" s="12">
        <v>1</v>
      </c>
      <c r="J9" s="12">
        <f t="shared" si="0"/>
        <v>0.2</v>
      </c>
      <c r="K9" s="12" t="s">
        <v>137</v>
      </c>
      <c r="L9" s="12" t="s">
        <v>161</v>
      </c>
      <c r="M9" s="12" t="s">
        <v>137</v>
      </c>
      <c r="N9" s="12" t="s">
        <v>140</v>
      </c>
      <c r="O9" s="40" t="s">
        <v>41</v>
      </c>
      <c r="P9" s="113"/>
      <c r="Q9" s="12" t="s">
        <v>166</v>
      </c>
      <c r="R9" s="12" t="s">
        <v>167</v>
      </c>
      <c r="S9" s="12">
        <v>0</v>
      </c>
      <c r="T9" s="12" t="s">
        <v>161</v>
      </c>
      <c r="U9" s="40" t="s">
        <v>41</v>
      </c>
      <c r="V9" s="113"/>
      <c r="W9" s="79"/>
      <c r="X9" s="79"/>
      <c r="Y9" s="79"/>
      <c r="Z9" s="79"/>
      <c r="AA9" s="79"/>
      <c r="AB9" s="79"/>
      <c r="AC9" s="40"/>
      <c r="AD9" s="113"/>
      <c r="AE9" s="79"/>
      <c r="AF9" s="79"/>
      <c r="AG9" s="79"/>
      <c r="AH9" s="79"/>
      <c r="AI9" s="79"/>
      <c r="AJ9" s="79"/>
      <c r="AK9" s="40"/>
    </row>
    <row r="10" spans="1:37" ht="21" customHeight="1" x14ac:dyDescent="0.25">
      <c r="A10" s="113"/>
      <c r="B10" s="12" t="s">
        <v>8</v>
      </c>
      <c r="C10" s="12" t="s">
        <v>116</v>
      </c>
      <c r="D10" s="12" t="s">
        <v>186</v>
      </c>
      <c r="E10" s="12">
        <v>20</v>
      </c>
      <c r="F10" s="12" t="s">
        <v>40</v>
      </c>
      <c r="G10" s="12">
        <v>4</v>
      </c>
      <c r="H10" s="12" t="s">
        <v>169</v>
      </c>
      <c r="I10" s="12" t="s">
        <v>169</v>
      </c>
      <c r="J10" s="12">
        <f t="shared" si="0"/>
        <v>0.2</v>
      </c>
      <c r="K10" s="12" t="s">
        <v>136</v>
      </c>
      <c r="L10" s="12" t="s">
        <v>158</v>
      </c>
      <c r="M10" s="12" t="s">
        <v>169</v>
      </c>
      <c r="N10" s="12" t="s">
        <v>161</v>
      </c>
      <c r="O10" s="40" t="s">
        <v>40</v>
      </c>
      <c r="P10" s="113"/>
      <c r="Q10" s="12" t="s">
        <v>170</v>
      </c>
      <c r="R10" s="12" t="s">
        <v>171</v>
      </c>
      <c r="S10" s="12">
        <v>1</v>
      </c>
      <c r="T10" s="12" t="s">
        <v>161</v>
      </c>
      <c r="U10" s="40" t="s">
        <v>41</v>
      </c>
      <c r="V10" s="113"/>
      <c r="W10" s="12" t="s">
        <v>136</v>
      </c>
      <c r="X10" s="12" t="s">
        <v>170</v>
      </c>
      <c r="Y10" s="12" t="s">
        <v>171</v>
      </c>
      <c r="Z10" s="12" t="s">
        <v>136</v>
      </c>
      <c r="AA10" s="12">
        <v>2</v>
      </c>
      <c r="AB10" s="12" t="s">
        <v>140</v>
      </c>
      <c r="AC10" s="40" t="s">
        <v>41</v>
      </c>
      <c r="AD10" s="113"/>
      <c r="AE10" s="79"/>
      <c r="AF10" s="79"/>
      <c r="AG10" s="79"/>
      <c r="AH10" s="79"/>
      <c r="AI10" s="79"/>
      <c r="AJ10" s="79"/>
      <c r="AK10" s="40"/>
    </row>
    <row r="11" spans="1:37" ht="21" customHeight="1" x14ac:dyDescent="0.25">
      <c r="A11" s="113"/>
      <c r="B11" s="81" t="s">
        <v>9</v>
      </c>
      <c r="C11" s="81" t="s">
        <v>116</v>
      </c>
      <c r="D11" s="81"/>
      <c r="E11" s="81">
        <v>20</v>
      </c>
      <c r="F11" s="81"/>
      <c r="G11" s="81"/>
      <c r="H11" s="81"/>
      <c r="I11" s="81"/>
      <c r="J11" s="81"/>
      <c r="K11" s="81"/>
      <c r="L11" s="81"/>
      <c r="M11" s="81"/>
      <c r="N11" s="81"/>
      <c r="O11" s="40"/>
      <c r="P11" s="113"/>
      <c r="Q11" s="79"/>
      <c r="R11" s="79"/>
      <c r="S11" s="79"/>
      <c r="T11" s="79"/>
      <c r="U11" s="40"/>
      <c r="V11" s="113"/>
      <c r="W11" s="79"/>
      <c r="X11" s="79"/>
      <c r="Y11" s="79"/>
      <c r="Z11" s="79"/>
      <c r="AA11" s="79"/>
      <c r="AB11" s="79"/>
      <c r="AC11" s="40" t="s">
        <v>41</v>
      </c>
      <c r="AD11" s="113"/>
      <c r="AE11" s="79"/>
      <c r="AF11" s="79"/>
      <c r="AG11" s="79"/>
      <c r="AH11" s="79"/>
      <c r="AI11" s="79"/>
      <c r="AJ11" s="79"/>
      <c r="AK11" s="40"/>
    </row>
    <row r="12" spans="1:37" ht="21" customHeight="1" x14ac:dyDescent="0.25">
      <c r="A12" s="113"/>
      <c r="B12" s="12" t="s">
        <v>8</v>
      </c>
      <c r="C12" s="12" t="s">
        <v>117</v>
      </c>
      <c r="D12" s="12" t="s">
        <v>138</v>
      </c>
      <c r="E12" s="12">
        <v>8</v>
      </c>
      <c r="F12" s="12" t="s">
        <v>40</v>
      </c>
      <c r="G12" s="12">
        <v>5</v>
      </c>
      <c r="H12" s="12">
        <v>3</v>
      </c>
      <c r="I12" s="12">
        <v>0</v>
      </c>
      <c r="J12" s="12">
        <f t="shared" ref="J12:J20" si="1">G12/E12</f>
        <v>0.625</v>
      </c>
      <c r="K12" s="12" t="s">
        <v>137</v>
      </c>
      <c r="L12" s="12" t="s">
        <v>158</v>
      </c>
      <c r="M12" s="12" t="s">
        <v>169</v>
      </c>
      <c r="N12" s="12" t="s">
        <v>161</v>
      </c>
      <c r="O12" s="40" t="s">
        <v>40</v>
      </c>
      <c r="P12" s="113"/>
      <c r="Q12" s="12" t="s">
        <v>166</v>
      </c>
      <c r="R12" s="12" t="s">
        <v>172</v>
      </c>
      <c r="S12" s="12">
        <v>1</v>
      </c>
      <c r="T12" s="12" t="s">
        <v>161</v>
      </c>
      <c r="U12" s="40" t="s">
        <v>41</v>
      </c>
      <c r="V12" s="113"/>
      <c r="W12" s="79"/>
      <c r="X12" s="79"/>
      <c r="Y12" s="79"/>
      <c r="Z12" s="79"/>
      <c r="AA12" s="79"/>
      <c r="AB12" s="79"/>
      <c r="AC12" s="40"/>
      <c r="AD12" s="113"/>
      <c r="AE12" s="79"/>
      <c r="AF12" s="79"/>
      <c r="AG12" s="79"/>
      <c r="AH12" s="79"/>
      <c r="AI12" s="79"/>
      <c r="AJ12" s="79"/>
      <c r="AK12" s="40"/>
    </row>
    <row r="13" spans="1:37" ht="21" customHeight="1" x14ac:dyDescent="0.25">
      <c r="A13" s="113"/>
      <c r="B13" s="12" t="s">
        <v>9</v>
      </c>
      <c r="C13" s="12" t="s">
        <v>117</v>
      </c>
      <c r="D13" s="12" t="s">
        <v>138</v>
      </c>
      <c r="E13" s="12">
        <v>8</v>
      </c>
      <c r="F13" s="12" t="s">
        <v>40</v>
      </c>
      <c r="G13" s="12">
        <v>5</v>
      </c>
      <c r="H13" s="12">
        <v>3</v>
      </c>
      <c r="I13" s="12">
        <v>0</v>
      </c>
      <c r="J13" s="12">
        <f t="shared" si="1"/>
        <v>0.625</v>
      </c>
      <c r="K13" s="12" t="s">
        <v>137</v>
      </c>
      <c r="L13" s="12" t="s">
        <v>158</v>
      </c>
      <c r="M13" s="12" t="s">
        <v>169</v>
      </c>
      <c r="N13" s="12" t="s">
        <v>161</v>
      </c>
      <c r="O13" s="40" t="s">
        <v>40</v>
      </c>
      <c r="P13" s="113"/>
      <c r="Q13" s="12" t="s">
        <v>166</v>
      </c>
      <c r="R13" s="12" t="s">
        <v>172</v>
      </c>
      <c r="S13" s="12">
        <v>1</v>
      </c>
      <c r="T13" s="12" t="s">
        <v>161</v>
      </c>
      <c r="U13" s="40" t="s">
        <v>41</v>
      </c>
      <c r="V13" s="113"/>
      <c r="W13" s="79"/>
      <c r="X13" s="79"/>
      <c r="Y13" s="79"/>
      <c r="Z13" s="79"/>
      <c r="AA13" s="79"/>
      <c r="AB13" s="79"/>
      <c r="AC13" s="40"/>
      <c r="AD13" s="113"/>
      <c r="AE13" s="79"/>
      <c r="AF13" s="79"/>
      <c r="AG13" s="79"/>
      <c r="AH13" s="79"/>
      <c r="AI13" s="79"/>
      <c r="AJ13" s="79"/>
      <c r="AK13" s="40"/>
    </row>
    <row r="14" spans="1:37" ht="21" customHeight="1" x14ac:dyDescent="0.25">
      <c r="A14" s="113"/>
      <c r="B14" s="12" t="s">
        <v>8</v>
      </c>
      <c r="C14" s="12" t="s">
        <v>118</v>
      </c>
      <c r="D14" s="12" t="s">
        <v>138</v>
      </c>
      <c r="E14" s="12">
        <v>17</v>
      </c>
      <c r="F14" s="12" t="s">
        <v>40</v>
      </c>
      <c r="G14" s="12">
        <v>6</v>
      </c>
      <c r="H14" s="12">
        <v>9</v>
      </c>
      <c r="I14" s="12">
        <v>2</v>
      </c>
      <c r="J14" s="12">
        <f t="shared" si="1"/>
        <v>0.35294117647058826</v>
      </c>
      <c r="K14" s="12" t="s">
        <v>136</v>
      </c>
      <c r="L14" s="12" t="s">
        <v>161</v>
      </c>
      <c r="M14" s="12" t="s">
        <v>169</v>
      </c>
      <c r="N14" s="12" t="s">
        <v>161</v>
      </c>
      <c r="O14" s="40" t="s">
        <v>41</v>
      </c>
      <c r="P14" s="113"/>
      <c r="Q14" s="12" t="s">
        <v>166</v>
      </c>
      <c r="R14" s="12" t="s">
        <v>136</v>
      </c>
      <c r="S14" s="12">
        <v>2</v>
      </c>
      <c r="T14" s="12" t="s">
        <v>140</v>
      </c>
      <c r="U14" s="40" t="s">
        <v>41</v>
      </c>
      <c r="V14" s="113"/>
      <c r="W14" s="12" t="s">
        <v>136</v>
      </c>
      <c r="X14" s="12" t="s">
        <v>168</v>
      </c>
      <c r="Y14" s="12" t="s">
        <v>136</v>
      </c>
      <c r="Z14" s="12" t="s">
        <v>136</v>
      </c>
      <c r="AA14" s="12">
        <v>3</v>
      </c>
      <c r="AB14" s="12" t="s">
        <v>158</v>
      </c>
      <c r="AC14" s="40" t="s">
        <v>40</v>
      </c>
      <c r="AD14" s="113"/>
      <c r="AE14" s="12" t="s">
        <v>136</v>
      </c>
      <c r="AF14" s="12" t="s">
        <v>168</v>
      </c>
      <c r="AG14" s="12" t="s">
        <v>136</v>
      </c>
      <c r="AH14" s="12" t="s">
        <v>136</v>
      </c>
      <c r="AI14" s="12">
        <v>3</v>
      </c>
      <c r="AJ14" s="12" t="s">
        <v>158</v>
      </c>
      <c r="AK14" s="40" t="s">
        <v>40</v>
      </c>
    </row>
    <row r="15" spans="1:37" ht="21" customHeight="1" x14ac:dyDescent="0.25">
      <c r="A15" s="113"/>
      <c r="B15" s="12" t="s">
        <v>9</v>
      </c>
      <c r="C15" s="12" t="s">
        <v>118</v>
      </c>
      <c r="D15" s="12" t="s">
        <v>138</v>
      </c>
      <c r="E15" s="12">
        <v>17</v>
      </c>
      <c r="F15" s="12" t="s">
        <v>40</v>
      </c>
      <c r="G15" s="12">
        <v>6</v>
      </c>
      <c r="H15" s="12">
        <v>9</v>
      </c>
      <c r="I15" s="12">
        <v>2</v>
      </c>
      <c r="J15" s="12">
        <f t="shared" si="1"/>
        <v>0.35294117647058826</v>
      </c>
      <c r="K15" s="12" t="s">
        <v>136</v>
      </c>
      <c r="L15" s="12" t="s">
        <v>161</v>
      </c>
      <c r="M15" s="12" t="s">
        <v>169</v>
      </c>
      <c r="N15" s="12" t="s">
        <v>161</v>
      </c>
      <c r="O15" s="40" t="s">
        <v>41</v>
      </c>
      <c r="P15" s="113"/>
      <c r="Q15" s="12" t="s">
        <v>166</v>
      </c>
      <c r="R15" s="12" t="s">
        <v>136</v>
      </c>
      <c r="S15" s="12">
        <v>2</v>
      </c>
      <c r="T15" s="12" t="s">
        <v>140</v>
      </c>
      <c r="U15" s="40" t="s">
        <v>41</v>
      </c>
      <c r="V15" s="113"/>
      <c r="W15" s="12" t="s">
        <v>136</v>
      </c>
      <c r="X15" s="12" t="s">
        <v>168</v>
      </c>
      <c r="Y15" s="12" t="s">
        <v>136</v>
      </c>
      <c r="Z15" s="12" t="s">
        <v>136</v>
      </c>
      <c r="AA15" s="12">
        <v>3</v>
      </c>
      <c r="AB15" s="12" t="s">
        <v>158</v>
      </c>
      <c r="AC15" s="40" t="s">
        <v>40</v>
      </c>
      <c r="AD15" s="113"/>
      <c r="AE15" s="12" t="s">
        <v>136</v>
      </c>
      <c r="AF15" s="12" t="s">
        <v>168</v>
      </c>
      <c r="AG15" s="12" t="s">
        <v>136</v>
      </c>
      <c r="AH15" s="12" t="s">
        <v>136</v>
      </c>
      <c r="AI15" s="12">
        <v>3</v>
      </c>
      <c r="AJ15" s="12" t="s">
        <v>158</v>
      </c>
      <c r="AK15" s="40" t="s">
        <v>40</v>
      </c>
    </row>
    <row r="16" spans="1:37" ht="21" customHeight="1" x14ac:dyDescent="0.25">
      <c r="A16" s="113"/>
      <c r="B16" s="12" t="s">
        <v>8</v>
      </c>
      <c r="C16" s="12" t="s">
        <v>119</v>
      </c>
      <c r="D16" s="12" t="s">
        <v>138</v>
      </c>
      <c r="E16" s="12">
        <v>11</v>
      </c>
      <c r="F16" s="12" t="s">
        <v>40</v>
      </c>
      <c r="G16" s="12">
        <v>4</v>
      </c>
      <c r="H16" s="12">
        <v>0</v>
      </c>
      <c r="I16" s="12">
        <v>7</v>
      </c>
      <c r="J16" s="12">
        <f t="shared" si="1"/>
        <v>0.36363636363636365</v>
      </c>
      <c r="K16" s="12" t="s">
        <v>137</v>
      </c>
      <c r="L16" s="12" t="s">
        <v>161</v>
      </c>
      <c r="M16" s="12" t="s">
        <v>137</v>
      </c>
      <c r="N16" s="12" t="s">
        <v>140</v>
      </c>
      <c r="O16" s="40" t="s">
        <v>41</v>
      </c>
      <c r="P16" s="113"/>
      <c r="Q16" s="12" t="s">
        <v>136</v>
      </c>
      <c r="R16" s="12" t="s">
        <v>174</v>
      </c>
      <c r="S16" s="12">
        <v>2</v>
      </c>
      <c r="T16" s="12" t="s">
        <v>140</v>
      </c>
      <c r="U16" s="40" t="s">
        <v>41</v>
      </c>
      <c r="V16" s="113"/>
      <c r="W16" s="79"/>
      <c r="X16" s="79"/>
      <c r="Y16" s="79"/>
      <c r="Z16" s="79"/>
      <c r="AA16" s="79"/>
      <c r="AB16" s="79"/>
      <c r="AC16" s="40"/>
      <c r="AD16" s="113"/>
      <c r="AE16" s="79"/>
      <c r="AF16" s="79"/>
      <c r="AG16" s="79"/>
      <c r="AH16" s="79"/>
      <c r="AI16" s="79"/>
      <c r="AJ16" s="79"/>
      <c r="AK16" s="40"/>
    </row>
    <row r="17" spans="1:37" ht="21" customHeight="1" x14ac:dyDescent="0.25">
      <c r="A17" s="113"/>
      <c r="B17" s="12" t="s">
        <v>9</v>
      </c>
      <c r="C17" s="12" t="s">
        <v>119</v>
      </c>
      <c r="D17" s="12" t="s">
        <v>138</v>
      </c>
      <c r="E17" s="12">
        <v>11</v>
      </c>
      <c r="F17" s="12" t="s">
        <v>40</v>
      </c>
      <c r="G17" s="12">
        <v>4</v>
      </c>
      <c r="H17" s="12">
        <v>0</v>
      </c>
      <c r="I17" s="12">
        <v>7</v>
      </c>
      <c r="J17" s="12">
        <f t="shared" si="1"/>
        <v>0.36363636363636365</v>
      </c>
      <c r="K17" s="12" t="s">
        <v>137</v>
      </c>
      <c r="L17" s="12" t="s">
        <v>161</v>
      </c>
      <c r="M17" s="12" t="s">
        <v>137</v>
      </c>
      <c r="N17" s="12" t="s">
        <v>140</v>
      </c>
      <c r="O17" s="40" t="s">
        <v>41</v>
      </c>
      <c r="P17" s="113"/>
      <c r="Q17" s="12" t="s">
        <v>136</v>
      </c>
      <c r="R17" s="12" t="s">
        <v>174</v>
      </c>
      <c r="S17" s="12">
        <v>2</v>
      </c>
      <c r="T17" s="12" t="s">
        <v>140</v>
      </c>
      <c r="U17" s="40" t="s">
        <v>41</v>
      </c>
      <c r="V17" s="113"/>
      <c r="W17" s="79"/>
      <c r="X17" s="79"/>
      <c r="Y17" s="79"/>
      <c r="Z17" s="79"/>
      <c r="AA17" s="79"/>
      <c r="AB17" s="79"/>
      <c r="AC17" s="40"/>
      <c r="AD17" s="113"/>
      <c r="AE17" s="79"/>
      <c r="AF17" s="79"/>
      <c r="AG17" s="79"/>
      <c r="AH17" s="79"/>
      <c r="AI17" s="79"/>
      <c r="AJ17" s="79"/>
      <c r="AK17" s="40"/>
    </row>
    <row r="18" spans="1:37" ht="21" customHeight="1" x14ac:dyDescent="0.25">
      <c r="A18" s="113"/>
      <c r="B18" s="12" t="s">
        <v>8</v>
      </c>
      <c r="C18" s="12" t="s">
        <v>120</v>
      </c>
      <c r="D18" s="12" t="s">
        <v>138</v>
      </c>
      <c r="E18" s="12">
        <v>57</v>
      </c>
      <c r="F18" s="12" t="s">
        <v>40</v>
      </c>
      <c r="G18" s="12">
        <v>40</v>
      </c>
      <c r="H18" s="12">
        <v>9</v>
      </c>
      <c r="I18" s="12">
        <v>0</v>
      </c>
      <c r="J18" s="12">
        <f t="shared" si="1"/>
        <v>0.70175438596491224</v>
      </c>
      <c r="K18" s="12" t="s">
        <v>136</v>
      </c>
      <c r="L18" s="12" t="s">
        <v>158</v>
      </c>
      <c r="M18" s="12" t="s">
        <v>136</v>
      </c>
      <c r="N18" s="12" t="s">
        <v>161</v>
      </c>
      <c r="O18" s="40" t="s">
        <v>40</v>
      </c>
      <c r="P18" s="113"/>
      <c r="Q18" s="12" t="s">
        <v>136</v>
      </c>
      <c r="R18" s="12" t="s">
        <v>136</v>
      </c>
      <c r="S18" s="12">
        <v>3</v>
      </c>
      <c r="T18" s="12" t="s">
        <v>158</v>
      </c>
      <c r="U18" s="40" t="s">
        <v>39</v>
      </c>
      <c r="V18" s="113"/>
      <c r="W18" s="79"/>
      <c r="X18" s="79"/>
      <c r="Y18" s="79"/>
      <c r="Z18" s="79"/>
      <c r="AA18" s="79"/>
      <c r="AB18" s="79"/>
      <c r="AC18" s="40"/>
      <c r="AD18" s="113"/>
      <c r="AE18" s="79"/>
      <c r="AF18" s="79"/>
      <c r="AG18" s="79"/>
      <c r="AH18" s="79"/>
      <c r="AI18" s="79"/>
      <c r="AJ18" s="79"/>
      <c r="AK18" s="40"/>
    </row>
    <row r="19" spans="1:37" ht="21" customHeight="1" x14ac:dyDescent="0.25">
      <c r="A19" s="113"/>
      <c r="B19" s="12" t="s">
        <v>9</v>
      </c>
      <c r="C19" s="12" t="s">
        <v>120</v>
      </c>
      <c r="D19" s="12" t="s">
        <v>138</v>
      </c>
      <c r="E19" s="12">
        <v>57</v>
      </c>
      <c r="F19" s="12" t="s">
        <v>40</v>
      </c>
      <c r="G19" s="12">
        <v>40</v>
      </c>
      <c r="H19" s="12">
        <v>9</v>
      </c>
      <c r="I19" s="12">
        <v>0</v>
      </c>
      <c r="J19" s="12">
        <f t="shared" si="1"/>
        <v>0.70175438596491224</v>
      </c>
      <c r="K19" s="12" t="s">
        <v>136</v>
      </c>
      <c r="L19" s="12" t="s">
        <v>158</v>
      </c>
      <c r="M19" s="12" t="s">
        <v>136</v>
      </c>
      <c r="N19" s="12" t="s">
        <v>161</v>
      </c>
      <c r="O19" s="40" t="s">
        <v>40</v>
      </c>
      <c r="P19" s="113"/>
      <c r="Q19" s="12" t="s">
        <v>136</v>
      </c>
      <c r="R19" s="12" t="s">
        <v>136</v>
      </c>
      <c r="S19" s="12">
        <v>3</v>
      </c>
      <c r="T19" s="12" t="s">
        <v>158</v>
      </c>
      <c r="U19" s="40" t="s">
        <v>39</v>
      </c>
      <c r="V19" s="113"/>
      <c r="W19" s="79"/>
      <c r="X19" s="79"/>
      <c r="Y19" s="79"/>
      <c r="Z19" s="79"/>
      <c r="AA19" s="79"/>
      <c r="AB19" s="79"/>
      <c r="AC19" s="40"/>
      <c r="AD19" s="113"/>
      <c r="AE19" s="79"/>
      <c r="AF19" s="79"/>
      <c r="AG19" s="79"/>
      <c r="AH19" s="79"/>
      <c r="AI19" s="79"/>
      <c r="AJ19" s="79"/>
      <c r="AK19" s="40"/>
    </row>
    <row r="20" spans="1:37" ht="21" customHeight="1" x14ac:dyDescent="0.25">
      <c r="A20" s="113"/>
      <c r="B20" s="12" t="s">
        <v>8</v>
      </c>
      <c r="C20" s="12" t="s">
        <v>121</v>
      </c>
      <c r="D20" s="12" t="s">
        <v>138</v>
      </c>
      <c r="E20" s="12">
        <v>7</v>
      </c>
      <c r="F20" s="12" t="s">
        <v>40</v>
      </c>
      <c r="G20" s="12">
        <v>1</v>
      </c>
      <c r="H20" s="12">
        <v>8</v>
      </c>
      <c r="I20" s="12">
        <v>1</v>
      </c>
      <c r="J20" s="12">
        <f t="shared" si="1"/>
        <v>0.14285714285714285</v>
      </c>
      <c r="K20" s="12" t="s">
        <v>137</v>
      </c>
      <c r="L20" s="12" t="s">
        <v>161</v>
      </c>
      <c r="M20" s="12" t="s">
        <v>169</v>
      </c>
      <c r="N20" s="12" t="s">
        <v>161</v>
      </c>
      <c r="O20" s="40" t="s">
        <v>41</v>
      </c>
      <c r="P20" s="113"/>
      <c r="Q20" s="12" t="s">
        <v>166</v>
      </c>
      <c r="R20" s="12" t="s">
        <v>175</v>
      </c>
      <c r="S20" s="12">
        <v>1</v>
      </c>
      <c r="T20" s="12" t="s">
        <v>161</v>
      </c>
      <c r="U20" s="40" t="s">
        <v>41</v>
      </c>
      <c r="V20" s="113"/>
      <c r="W20" s="79"/>
      <c r="X20" s="79"/>
      <c r="Y20" s="79"/>
      <c r="Z20" s="79"/>
      <c r="AA20" s="79"/>
      <c r="AB20" s="79"/>
      <c r="AC20" s="40"/>
      <c r="AD20" s="113"/>
      <c r="AE20" s="79"/>
      <c r="AF20" s="79"/>
      <c r="AG20" s="79"/>
      <c r="AH20" s="79"/>
      <c r="AI20" s="79"/>
      <c r="AJ20" s="79"/>
      <c r="AK20" s="40"/>
    </row>
    <row r="21" spans="1:37" ht="21" customHeight="1" x14ac:dyDescent="0.25">
      <c r="A21" s="113"/>
      <c r="B21" s="12" t="s">
        <v>9</v>
      </c>
      <c r="C21" s="12" t="s">
        <v>121</v>
      </c>
      <c r="D21" s="12" t="s">
        <v>138</v>
      </c>
      <c r="E21" s="12">
        <v>7</v>
      </c>
      <c r="F21" s="12" t="s">
        <v>40</v>
      </c>
      <c r="G21" s="12">
        <v>1</v>
      </c>
      <c r="H21" s="12">
        <v>8</v>
      </c>
      <c r="I21" s="12">
        <v>1</v>
      </c>
      <c r="J21" s="12">
        <f t="shared" ref="J21:J26" si="2">G21/E21</f>
        <v>0.14285714285714285</v>
      </c>
      <c r="K21" s="12" t="s">
        <v>137</v>
      </c>
      <c r="L21" s="12" t="s">
        <v>161</v>
      </c>
      <c r="M21" s="12" t="s">
        <v>169</v>
      </c>
      <c r="N21" s="12" t="s">
        <v>161</v>
      </c>
      <c r="O21" s="40" t="s">
        <v>41</v>
      </c>
      <c r="P21" s="113"/>
      <c r="Q21" s="12" t="s">
        <v>166</v>
      </c>
      <c r="R21" s="12" t="s">
        <v>175</v>
      </c>
      <c r="S21" s="12">
        <v>1</v>
      </c>
      <c r="T21" s="12" t="s">
        <v>161</v>
      </c>
      <c r="U21" s="40" t="s">
        <v>41</v>
      </c>
      <c r="V21" s="113"/>
      <c r="W21" s="79"/>
      <c r="X21" s="79"/>
      <c r="Y21" s="79"/>
      <c r="Z21" s="79"/>
      <c r="AA21" s="79"/>
      <c r="AB21" s="79"/>
      <c r="AC21" s="40"/>
      <c r="AD21" s="113"/>
      <c r="AE21" s="79"/>
      <c r="AF21" s="79"/>
      <c r="AG21" s="79"/>
      <c r="AH21" s="79"/>
      <c r="AI21" s="79"/>
      <c r="AJ21" s="79"/>
      <c r="AK21" s="40"/>
    </row>
    <row r="22" spans="1:37" ht="21" customHeight="1" x14ac:dyDescent="0.25">
      <c r="A22" s="113"/>
      <c r="B22" s="12" t="s">
        <v>8</v>
      </c>
      <c r="C22" s="12" t="s">
        <v>122</v>
      </c>
      <c r="D22" s="12" t="s">
        <v>176</v>
      </c>
      <c r="E22" s="12">
        <v>32</v>
      </c>
      <c r="F22" s="12" t="s">
        <v>40</v>
      </c>
      <c r="G22" s="12">
        <v>9</v>
      </c>
      <c r="H22" s="12">
        <v>1</v>
      </c>
      <c r="I22" s="12">
        <v>22</v>
      </c>
      <c r="J22" s="12">
        <f t="shared" si="2"/>
        <v>0.28125</v>
      </c>
      <c r="K22" s="12" t="s">
        <v>137</v>
      </c>
      <c r="L22" s="12" t="s">
        <v>161</v>
      </c>
      <c r="M22" s="12" t="s">
        <v>137</v>
      </c>
      <c r="N22" s="12" t="s">
        <v>140</v>
      </c>
      <c r="O22" s="40" t="s">
        <v>41</v>
      </c>
      <c r="P22" s="113"/>
      <c r="Q22" s="12" t="s">
        <v>136</v>
      </c>
      <c r="R22" s="12" t="s">
        <v>136</v>
      </c>
      <c r="S22" s="12">
        <v>3</v>
      </c>
      <c r="T22" s="12" t="s">
        <v>158</v>
      </c>
      <c r="U22" s="40" t="s">
        <v>40</v>
      </c>
      <c r="V22" s="113"/>
      <c r="W22" s="12" t="s">
        <v>136</v>
      </c>
      <c r="X22" s="12" t="s">
        <v>136</v>
      </c>
      <c r="Y22" s="12" t="s">
        <v>136</v>
      </c>
      <c r="Z22" s="12" t="s">
        <v>136</v>
      </c>
      <c r="AA22" s="12">
        <v>4</v>
      </c>
      <c r="AB22" s="12" t="s">
        <v>158</v>
      </c>
      <c r="AC22" s="40" t="s">
        <v>40</v>
      </c>
      <c r="AD22" s="113"/>
      <c r="AE22" s="12" t="s">
        <v>136</v>
      </c>
      <c r="AF22" s="12" t="s">
        <v>136</v>
      </c>
      <c r="AG22" s="12" t="s">
        <v>136</v>
      </c>
      <c r="AH22" s="12" t="s">
        <v>136</v>
      </c>
      <c r="AI22" s="12">
        <v>4</v>
      </c>
      <c r="AJ22" s="12" t="s">
        <v>158</v>
      </c>
      <c r="AK22" s="40" t="s">
        <v>40</v>
      </c>
    </row>
    <row r="23" spans="1:37" x14ac:dyDescent="0.25">
      <c r="A23" s="44"/>
      <c r="B23" s="12" t="s">
        <v>9</v>
      </c>
      <c r="C23" s="12" t="s">
        <v>122</v>
      </c>
      <c r="D23" s="12" t="s">
        <v>176</v>
      </c>
      <c r="E23" s="12">
        <v>32</v>
      </c>
      <c r="F23" s="12" t="s">
        <v>40</v>
      </c>
      <c r="G23" s="12">
        <v>9</v>
      </c>
      <c r="H23" s="12">
        <v>1</v>
      </c>
      <c r="I23" s="12">
        <v>22</v>
      </c>
      <c r="J23" s="12">
        <f t="shared" si="2"/>
        <v>0.28125</v>
      </c>
      <c r="K23" s="12" t="s">
        <v>137</v>
      </c>
      <c r="L23" s="12" t="s">
        <v>161</v>
      </c>
      <c r="M23" s="12" t="s">
        <v>137</v>
      </c>
      <c r="N23" s="12" t="s">
        <v>140</v>
      </c>
      <c r="O23" s="40" t="s">
        <v>41</v>
      </c>
      <c r="P23" s="44"/>
      <c r="Q23" s="12" t="s">
        <v>136</v>
      </c>
      <c r="R23" s="12" t="s">
        <v>136</v>
      </c>
      <c r="S23" s="12">
        <v>3</v>
      </c>
      <c r="T23" s="12" t="s">
        <v>158</v>
      </c>
      <c r="U23" s="40" t="s">
        <v>40</v>
      </c>
      <c r="V23" s="44"/>
      <c r="W23" s="12" t="s">
        <v>136</v>
      </c>
      <c r="X23" s="12" t="s">
        <v>136</v>
      </c>
      <c r="Y23" s="12" t="s">
        <v>136</v>
      </c>
      <c r="Z23" s="12" t="s">
        <v>136</v>
      </c>
      <c r="AA23" s="12">
        <v>4</v>
      </c>
      <c r="AB23" s="12" t="s">
        <v>158</v>
      </c>
      <c r="AC23" s="40" t="s">
        <v>40</v>
      </c>
      <c r="AD23" s="44"/>
      <c r="AE23" s="12" t="s">
        <v>136</v>
      </c>
      <c r="AF23" s="12" t="s">
        <v>136</v>
      </c>
      <c r="AG23" s="12" t="s">
        <v>136</v>
      </c>
      <c r="AH23" s="12" t="s">
        <v>136</v>
      </c>
      <c r="AI23" s="12">
        <v>4</v>
      </c>
      <c r="AJ23" s="12" t="s">
        <v>158</v>
      </c>
      <c r="AK23" s="40" t="s">
        <v>40</v>
      </c>
    </row>
    <row r="24" spans="1:37" x14ac:dyDescent="0.25">
      <c r="A24" s="29"/>
      <c r="B24" s="27" t="s">
        <v>8</v>
      </c>
      <c r="C24" s="27" t="s">
        <v>123</v>
      </c>
      <c r="D24" s="12" t="s">
        <v>138</v>
      </c>
      <c r="E24" s="27">
        <v>81</v>
      </c>
      <c r="F24" s="12" t="s">
        <v>40</v>
      </c>
      <c r="G24" s="27">
        <v>81</v>
      </c>
      <c r="H24" s="27">
        <v>0</v>
      </c>
      <c r="I24" s="27">
        <v>0</v>
      </c>
      <c r="J24" s="27">
        <f>G24/E24</f>
        <v>1</v>
      </c>
      <c r="K24" s="27" t="s">
        <v>136</v>
      </c>
      <c r="L24" s="27" t="s">
        <v>158</v>
      </c>
      <c r="M24" s="27" t="s">
        <v>137</v>
      </c>
      <c r="N24" s="27" t="s">
        <v>140</v>
      </c>
      <c r="O24" s="54" t="s">
        <v>39</v>
      </c>
      <c r="P24" s="29"/>
      <c r="Q24" s="12" t="s">
        <v>136</v>
      </c>
      <c r="R24" s="12" t="s">
        <v>146</v>
      </c>
      <c r="S24" s="12">
        <v>1</v>
      </c>
      <c r="T24" s="12" t="s">
        <v>161</v>
      </c>
      <c r="U24" s="40" t="s">
        <v>40</v>
      </c>
      <c r="V24" s="29"/>
      <c r="W24" s="79"/>
      <c r="X24" s="79"/>
      <c r="Y24" s="79"/>
      <c r="Z24" s="79"/>
      <c r="AA24" s="79"/>
      <c r="AB24" s="79"/>
      <c r="AC24" s="40"/>
      <c r="AD24" s="29"/>
      <c r="AE24" s="79"/>
      <c r="AF24" s="79"/>
      <c r="AG24" s="79"/>
      <c r="AH24" s="79"/>
      <c r="AI24" s="79"/>
      <c r="AJ24" s="79"/>
      <c r="AK24" s="40"/>
    </row>
    <row r="25" spans="1:37" x14ac:dyDescent="0.25">
      <c r="A25" s="29"/>
      <c r="B25" s="27" t="s">
        <v>9</v>
      </c>
      <c r="C25" s="27" t="s">
        <v>123</v>
      </c>
      <c r="D25" s="12" t="s">
        <v>138</v>
      </c>
      <c r="E25" s="27">
        <v>81</v>
      </c>
      <c r="F25" s="12" t="s">
        <v>40</v>
      </c>
      <c r="G25" s="27">
        <v>81</v>
      </c>
      <c r="H25" s="27">
        <v>0</v>
      </c>
      <c r="I25" s="27">
        <v>0</v>
      </c>
      <c r="J25" s="27">
        <f t="shared" ref="J25" si="3">G25/E25</f>
        <v>1</v>
      </c>
      <c r="K25" s="27" t="s">
        <v>136</v>
      </c>
      <c r="L25" s="27" t="s">
        <v>158</v>
      </c>
      <c r="M25" s="27" t="s">
        <v>137</v>
      </c>
      <c r="N25" s="27" t="s">
        <v>140</v>
      </c>
      <c r="O25" s="54" t="s">
        <v>39</v>
      </c>
      <c r="P25" s="29"/>
      <c r="Q25" s="12" t="s">
        <v>136</v>
      </c>
      <c r="R25" s="12" t="s">
        <v>146</v>
      </c>
      <c r="S25" s="12">
        <v>1</v>
      </c>
      <c r="T25" s="12" t="s">
        <v>161</v>
      </c>
      <c r="U25" s="40" t="s">
        <v>40</v>
      </c>
      <c r="V25" s="29"/>
      <c r="W25" s="79"/>
      <c r="X25" s="79"/>
      <c r="Y25" s="79"/>
      <c r="Z25" s="79"/>
      <c r="AA25" s="79"/>
      <c r="AB25" s="79"/>
      <c r="AC25" s="40"/>
      <c r="AD25" s="29"/>
      <c r="AE25" s="79"/>
      <c r="AF25" s="79"/>
      <c r="AG25" s="79"/>
      <c r="AH25" s="79"/>
      <c r="AI25" s="79"/>
      <c r="AJ25" s="79"/>
      <c r="AK25" s="40"/>
    </row>
    <row r="26" spans="1:37" x14ac:dyDescent="0.25">
      <c r="A26" s="29"/>
      <c r="B26" s="12" t="s">
        <v>8</v>
      </c>
      <c r="C26" s="12" t="s">
        <v>124</v>
      </c>
      <c r="D26" s="12" t="s">
        <v>138</v>
      </c>
      <c r="E26" s="12">
        <v>7</v>
      </c>
      <c r="F26" s="12" t="s">
        <v>40</v>
      </c>
      <c r="G26" s="12">
        <v>5</v>
      </c>
      <c r="H26" s="12">
        <v>1</v>
      </c>
      <c r="I26" s="12">
        <v>0</v>
      </c>
      <c r="J26" s="12">
        <f t="shared" si="2"/>
        <v>0.7142857142857143</v>
      </c>
      <c r="K26" s="12" t="s">
        <v>136</v>
      </c>
      <c r="L26" s="12" t="s">
        <v>158</v>
      </c>
      <c r="M26" s="12" t="s">
        <v>169</v>
      </c>
      <c r="N26" s="12" t="s">
        <v>161</v>
      </c>
      <c r="O26" s="40" t="s">
        <v>40</v>
      </c>
      <c r="P26" s="29"/>
      <c r="Q26" s="12" t="s">
        <v>170</v>
      </c>
      <c r="R26" s="12" t="s">
        <v>171</v>
      </c>
      <c r="S26" s="12">
        <v>1</v>
      </c>
      <c r="T26" s="12" t="s">
        <v>161</v>
      </c>
      <c r="U26" s="40" t="s">
        <v>41</v>
      </c>
      <c r="V26" s="29"/>
      <c r="W26" s="79"/>
      <c r="X26" s="79"/>
      <c r="Y26" s="79"/>
      <c r="Z26" s="79"/>
      <c r="AA26" s="79"/>
      <c r="AB26" s="79"/>
      <c r="AC26" s="40"/>
      <c r="AD26" s="29"/>
      <c r="AE26" s="79"/>
      <c r="AF26" s="79"/>
      <c r="AG26" s="79"/>
      <c r="AH26" s="79"/>
      <c r="AI26" s="79"/>
      <c r="AJ26" s="79"/>
      <c r="AK26" s="40"/>
    </row>
    <row r="27" spans="1:37" x14ac:dyDescent="0.25">
      <c r="A27" s="29"/>
      <c r="B27" s="81" t="s">
        <v>9</v>
      </c>
      <c r="C27" s="81" t="s">
        <v>124</v>
      </c>
      <c r="D27" s="81"/>
      <c r="E27" s="81">
        <v>7</v>
      </c>
      <c r="F27" s="81"/>
      <c r="G27" s="81"/>
      <c r="H27" s="81"/>
      <c r="I27" s="81"/>
      <c r="J27" s="81"/>
      <c r="K27" s="81"/>
      <c r="L27" s="81"/>
      <c r="M27" s="81"/>
      <c r="N27" s="81"/>
      <c r="O27" s="40"/>
      <c r="P27" s="29"/>
      <c r="Q27" s="79"/>
      <c r="R27" s="79"/>
      <c r="S27" s="79"/>
      <c r="T27" s="79"/>
      <c r="U27" s="40"/>
      <c r="V27" s="29"/>
      <c r="W27" s="79"/>
      <c r="X27" s="79"/>
      <c r="Y27" s="79"/>
      <c r="Z27" s="79"/>
      <c r="AA27" s="79"/>
      <c r="AB27" s="79"/>
      <c r="AC27" s="40"/>
      <c r="AD27" s="29"/>
      <c r="AE27" s="79"/>
      <c r="AF27" s="79"/>
      <c r="AG27" s="79"/>
      <c r="AH27" s="79"/>
      <c r="AI27" s="79"/>
      <c r="AJ27" s="79"/>
      <c r="AK27" s="40"/>
    </row>
    <row r="28" spans="1:37" x14ac:dyDescent="0.25">
      <c r="A28" s="29"/>
      <c r="B28" s="12" t="s">
        <v>8</v>
      </c>
      <c r="C28" s="12" t="s">
        <v>125</v>
      </c>
      <c r="D28" s="12" t="s">
        <v>138</v>
      </c>
      <c r="E28" s="12">
        <v>16</v>
      </c>
      <c r="F28" s="12" t="s">
        <v>40</v>
      </c>
      <c r="G28" s="12">
        <v>8</v>
      </c>
      <c r="H28" s="12">
        <v>4</v>
      </c>
      <c r="I28" s="12">
        <v>4</v>
      </c>
      <c r="J28" s="12">
        <f t="shared" ref="J28:J45" si="4">G28/E28</f>
        <v>0.5</v>
      </c>
      <c r="K28" s="12" t="s">
        <v>137</v>
      </c>
      <c r="L28" s="12" t="s">
        <v>161</v>
      </c>
      <c r="M28" s="12" t="s">
        <v>169</v>
      </c>
      <c r="N28" s="12" t="s">
        <v>161</v>
      </c>
      <c r="O28" s="40" t="s">
        <v>41</v>
      </c>
      <c r="P28" s="29"/>
      <c r="Q28" s="12" t="s">
        <v>166</v>
      </c>
      <c r="R28" s="12" t="s">
        <v>177</v>
      </c>
      <c r="S28" s="12">
        <v>1</v>
      </c>
      <c r="T28" s="12" t="s">
        <v>161</v>
      </c>
      <c r="U28" s="40" t="s">
        <v>41</v>
      </c>
      <c r="V28" s="29"/>
      <c r="W28" s="79"/>
      <c r="X28" s="79"/>
      <c r="Y28" s="79"/>
      <c r="Z28" s="79"/>
      <c r="AA28" s="79"/>
      <c r="AB28" s="79"/>
      <c r="AC28" s="40"/>
      <c r="AD28" s="29"/>
      <c r="AE28" s="79"/>
      <c r="AF28" s="79"/>
      <c r="AG28" s="79"/>
      <c r="AH28" s="79"/>
      <c r="AI28" s="79"/>
      <c r="AJ28" s="79"/>
      <c r="AK28" s="40"/>
    </row>
    <row r="29" spans="1:37" x14ac:dyDescent="0.25">
      <c r="A29" s="29"/>
      <c r="B29" s="12" t="s">
        <v>9</v>
      </c>
      <c r="C29" s="12" t="s">
        <v>125</v>
      </c>
      <c r="D29" s="12" t="s">
        <v>138</v>
      </c>
      <c r="E29" s="12">
        <v>16</v>
      </c>
      <c r="F29" s="12" t="s">
        <v>40</v>
      </c>
      <c r="G29" s="12">
        <v>8</v>
      </c>
      <c r="H29" s="12">
        <v>4</v>
      </c>
      <c r="I29" s="12">
        <v>4</v>
      </c>
      <c r="J29" s="12">
        <f t="shared" si="4"/>
        <v>0.5</v>
      </c>
      <c r="K29" s="12" t="s">
        <v>137</v>
      </c>
      <c r="L29" s="12" t="s">
        <v>161</v>
      </c>
      <c r="M29" s="12" t="s">
        <v>169</v>
      </c>
      <c r="N29" s="12" t="s">
        <v>161</v>
      </c>
      <c r="O29" s="40" t="s">
        <v>41</v>
      </c>
      <c r="P29" s="29"/>
      <c r="Q29" s="12" t="s">
        <v>166</v>
      </c>
      <c r="R29" s="12" t="s">
        <v>177</v>
      </c>
      <c r="S29" s="12">
        <v>1</v>
      </c>
      <c r="T29" s="12" t="s">
        <v>161</v>
      </c>
      <c r="U29" s="40" t="s">
        <v>41</v>
      </c>
      <c r="V29" s="29"/>
      <c r="W29" s="79"/>
      <c r="X29" s="79"/>
      <c r="Y29" s="79"/>
      <c r="Z29" s="79"/>
      <c r="AA29" s="79"/>
      <c r="AB29" s="79"/>
      <c r="AC29" s="40"/>
      <c r="AD29" s="29"/>
      <c r="AE29" s="79"/>
      <c r="AF29" s="79"/>
      <c r="AG29" s="79"/>
      <c r="AH29" s="79"/>
      <c r="AI29" s="79"/>
      <c r="AJ29" s="79"/>
      <c r="AK29" s="40"/>
    </row>
    <row r="30" spans="1:37" x14ac:dyDescent="0.25">
      <c r="A30" s="29"/>
      <c r="B30" s="12" t="s">
        <v>8</v>
      </c>
      <c r="C30" s="12" t="s">
        <v>126</v>
      </c>
      <c r="D30" s="12" t="s">
        <v>138</v>
      </c>
      <c r="E30" s="12">
        <v>83</v>
      </c>
      <c r="F30" s="12" t="s">
        <v>40</v>
      </c>
      <c r="G30" s="12">
        <v>3</v>
      </c>
      <c r="H30" s="12" t="s">
        <v>139</v>
      </c>
      <c r="I30" s="12" t="s">
        <v>139</v>
      </c>
      <c r="J30" s="12">
        <f t="shared" si="4"/>
        <v>3.614457831325301E-2</v>
      </c>
      <c r="K30" s="12" t="s">
        <v>137</v>
      </c>
      <c r="L30" s="12" t="s">
        <v>161</v>
      </c>
      <c r="M30" s="12" t="s">
        <v>137</v>
      </c>
      <c r="N30" s="12" t="s">
        <v>140</v>
      </c>
      <c r="O30" s="40" t="s">
        <v>41</v>
      </c>
      <c r="P30" s="29"/>
      <c r="Q30" s="12" t="s">
        <v>166</v>
      </c>
      <c r="R30" s="12" t="s">
        <v>136</v>
      </c>
      <c r="S30" s="12">
        <v>2</v>
      </c>
      <c r="T30" s="12" t="s">
        <v>140</v>
      </c>
      <c r="U30" s="40" t="s">
        <v>41</v>
      </c>
      <c r="V30" s="29"/>
      <c r="W30" s="12" t="s">
        <v>136</v>
      </c>
      <c r="X30" s="12" t="s">
        <v>168</v>
      </c>
      <c r="Y30" s="12" t="s">
        <v>136</v>
      </c>
      <c r="Z30" s="12" t="s">
        <v>136</v>
      </c>
      <c r="AA30" s="12">
        <v>3</v>
      </c>
      <c r="AB30" s="12" t="s">
        <v>158</v>
      </c>
      <c r="AC30" s="40" t="s">
        <v>40</v>
      </c>
      <c r="AD30" s="29"/>
      <c r="AE30" s="79"/>
      <c r="AF30" s="79"/>
      <c r="AG30" s="79"/>
      <c r="AH30" s="79"/>
      <c r="AI30" s="79"/>
      <c r="AJ30" s="79"/>
      <c r="AK30" s="40"/>
    </row>
    <row r="31" spans="1:37" x14ac:dyDescent="0.25">
      <c r="A31" s="29"/>
      <c r="B31" s="12" t="s">
        <v>9</v>
      </c>
      <c r="C31" s="12" t="s">
        <v>126</v>
      </c>
      <c r="D31" s="12" t="s">
        <v>138</v>
      </c>
      <c r="E31" s="12">
        <v>83</v>
      </c>
      <c r="F31" s="12" t="s">
        <v>40</v>
      </c>
      <c r="G31" s="12">
        <v>3</v>
      </c>
      <c r="H31" s="12" t="s">
        <v>139</v>
      </c>
      <c r="I31" s="12" t="s">
        <v>139</v>
      </c>
      <c r="J31" s="12">
        <f t="shared" si="4"/>
        <v>3.614457831325301E-2</v>
      </c>
      <c r="K31" s="12" t="s">
        <v>137</v>
      </c>
      <c r="L31" s="12" t="s">
        <v>161</v>
      </c>
      <c r="M31" s="12" t="s">
        <v>137</v>
      </c>
      <c r="N31" s="12" t="s">
        <v>140</v>
      </c>
      <c r="O31" s="40" t="s">
        <v>41</v>
      </c>
      <c r="P31" s="29"/>
      <c r="Q31" s="12" t="s">
        <v>166</v>
      </c>
      <c r="R31" s="12" t="s">
        <v>136</v>
      </c>
      <c r="S31" s="12">
        <v>2</v>
      </c>
      <c r="T31" s="12" t="s">
        <v>140</v>
      </c>
      <c r="U31" s="40" t="s">
        <v>41</v>
      </c>
      <c r="V31" s="29"/>
      <c r="W31" s="12" t="s">
        <v>136</v>
      </c>
      <c r="X31" s="12" t="s">
        <v>168</v>
      </c>
      <c r="Y31" s="12" t="s">
        <v>136</v>
      </c>
      <c r="Z31" s="12" t="s">
        <v>136</v>
      </c>
      <c r="AA31" s="12">
        <v>3</v>
      </c>
      <c r="AB31" s="12" t="s">
        <v>158</v>
      </c>
      <c r="AC31" s="40" t="s">
        <v>40</v>
      </c>
      <c r="AD31" s="29"/>
      <c r="AE31" s="79"/>
      <c r="AF31" s="79"/>
      <c r="AG31" s="79"/>
      <c r="AH31" s="79"/>
      <c r="AI31" s="79"/>
      <c r="AJ31" s="79"/>
      <c r="AK31" s="40"/>
    </row>
    <row r="32" spans="1:37" x14ac:dyDescent="0.25">
      <c r="A32" s="29"/>
      <c r="B32" s="12" t="s">
        <v>8</v>
      </c>
      <c r="C32" s="12" t="s">
        <v>127</v>
      </c>
      <c r="D32" s="12" t="s">
        <v>138</v>
      </c>
      <c r="E32" s="12">
        <v>11</v>
      </c>
      <c r="F32" s="12" t="s">
        <v>40</v>
      </c>
      <c r="G32" s="12">
        <v>4</v>
      </c>
      <c r="H32" s="12">
        <v>5</v>
      </c>
      <c r="I32" s="12">
        <v>2</v>
      </c>
      <c r="J32" s="12">
        <f t="shared" si="4"/>
        <v>0.36363636363636365</v>
      </c>
      <c r="K32" s="12" t="s">
        <v>136</v>
      </c>
      <c r="L32" s="12" t="s">
        <v>158</v>
      </c>
      <c r="M32" s="12" t="s">
        <v>136</v>
      </c>
      <c r="N32" s="12" t="s">
        <v>161</v>
      </c>
      <c r="O32" s="40" t="s">
        <v>40</v>
      </c>
      <c r="P32" s="29"/>
      <c r="Q32" s="12" t="s">
        <v>166</v>
      </c>
      <c r="R32" s="12" t="s">
        <v>178</v>
      </c>
      <c r="S32" s="12">
        <v>1</v>
      </c>
      <c r="T32" s="12" t="s">
        <v>161</v>
      </c>
      <c r="U32" s="40" t="s">
        <v>41</v>
      </c>
      <c r="V32" s="29"/>
      <c r="W32" s="79"/>
      <c r="X32" s="79"/>
      <c r="Y32" s="79"/>
      <c r="Z32" s="79"/>
      <c r="AA32" s="79"/>
      <c r="AB32" s="79"/>
      <c r="AC32" s="40"/>
      <c r="AD32" s="29"/>
      <c r="AE32" s="79"/>
      <c r="AF32" s="79"/>
      <c r="AG32" s="79"/>
      <c r="AH32" s="79"/>
      <c r="AI32" s="79"/>
      <c r="AJ32" s="79"/>
      <c r="AK32" s="40"/>
    </row>
    <row r="33" spans="1:37" x14ac:dyDescent="0.25">
      <c r="A33" s="29"/>
      <c r="B33" s="12" t="s">
        <v>9</v>
      </c>
      <c r="C33" s="12" t="s">
        <v>127</v>
      </c>
      <c r="D33" s="12" t="s">
        <v>138</v>
      </c>
      <c r="E33" s="12">
        <v>11</v>
      </c>
      <c r="F33" s="12" t="s">
        <v>40</v>
      </c>
      <c r="G33" s="12">
        <v>4</v>
      </c>
      <c r="H33" s="12">
        <v>5</v>
      </c>
      <c r="I33" s="12">
        <v>2</v>
      </c>
      <c r="J33" s="12">
        <f t="shared" si="4"/>
        <v>0.36363636363636365</v>
      </c>
      <c r="K33" s="12" t="s">
        <v>136</v>
      </c>
      <c r="L33" s="12" t="s">
        <v>158</v>
      </c>
      <c r="M33" s="12" t="s">
        <v>136</v>
      </c>
      <c r="N33" s="12" t="s">
        <v>161</v>
      </c>
      <c r="O33" s="40" t="s">
        <v>40</v>
      </c>
      <c r="P33" s="29"/>
      <c r="Q33" s="12" t="s">
        <v>166</v>
      </c>
      <c r="R33" s="12" t="s">
        <v>178</v>
      </c>
      <c r="S33" s="12">
        <v>1</v>
      </c>
      <c r="T33" s="12" t="s">
        <v>161</v>
      </c>
      <c r="U33" s="40" t="s">
        <v>41</v>
      </c>
      <c r="V33" s="29"/>
      <c r="W33" s="79"/>
      <c r="X33" s="79"/>
      <c r="Y33" s="79"/>
      <c r="Z33" s="79"/>
      <c r="AA33" s="79"/>
      <c r="AB33" s="79"/>
      <c r="AC33" s="40"/>
      <c r="AD33" s="29"/>
      <c r="AE33" s="79"/>
      <c r="AF33" s="79"/>
      <c r="AG33" s="79"/>
      <c r="AH33" s="79"/>
      <c r="AI33" s="79"/>
      <c r="AJ33" s="79"/>
      <c r="AK33" s="40"/>
    </row>
    <row r="34" spans="1:37" x14ac:dyDescent="0.25">
      <c r="A34" s="29"/>
      <c r="B34" s="12" t="s">
        <v>8</v>
      </c>
      <c r="C34" s="12" t="s">
        <v>128</v>
      </c>
      <c r="D34" s="12" t="s">
        <v>138</v>
      </c>
      <c r="E34" s="12">
        <v>11</v>
      </c>
      <c r="F34" s="12" t="s">
        <v>40</v>
      </c>
      <c r="G34" s="12">
        <v>1</v>
      </c>
      <c r="H34" s="12">
        <v>4</v>
      </c>
      <c r="I34" s="12">
        <v>6</v>
      </c>
      <c r="J34" s="12">
        <f t="shared" si="4"/>
        <v>9.0909090909090912E-2</v>
      </c>
      <c r="K34" s="12" t="s">
        <v>137</v>
      </c>
      <c r="L34" s="12" t="s">
        <v>161</v>
      </c>
      <c r="M34" s="12" t="s">
        <v>137</v>
      </c>
      <c r="N34" s="12" t="s">
        <v>140</v>
      </c>
      <c r="O34" s="40" t="s">
        <v>41</v>
      </c>
      <c r="P34" s="29"/>
      <c r="Q34" s="12" t="s">
        <v>170</v>
      </c>
      <c r="R34" s="12" t="s">
        <v>179</v>
      </c>
      <c r="S34" s="12">
        <v>1</v>
      </c>
      <c r="T34" s="12" t="s">
        <v>161</v>
      </c>
      <c r="U34" s="40" t="s">
        <v>41</v>
      </c>
      <c r="V34" s="29"/>
      <c r="W34" s="79"/>
      <c r="X34" s="79"/>
      <c r="Y34" s="79"/>
      <c r="Z34" s="79"/>
      <c r="AA34" s="79"/>
      <c r="AB34" s="79"/>
      <c r="AC34" s="40"/>
      <c r="AD34" s="29"/>
      <c r="AE34" s="79"/>
      <c r="AF34" s="79"/>
      <c r="AG34" s="79"/>
      <c r="AH34" s="79"/>
      <c r="AI34" s="79"/>
      <c r="AJ34" s="79"/>
      <c r="AK34" s="40"/>
    </row>
    <row r="35" spans="1:37" x14ac:dyDescent="0.25">
      <c r="A35" s="29"/>
      <c r="B35" s="12" t="s">
        <v>9</v>
      </c>
      <c r="C35" s="12" t="s">
        <v>128</v>
      </c>
      <c r="D35" s="12" t="s">
        <v>138</v>
      </c>
      <c r="E35" s="12">
        <v>11</v>
      </c>
      <c r="F35" s="12" t="s">
        <v>40</v>
      </c>
      <c r="G35" s="12">
        <v>1</v>
      </c>
      <c r="H35" s="12">
        <v>4</v>
      </c>
      <c r="I35" s="12">
        <v>6</v>
      </c>
      <c r="J35" s="12">
        <f t="shared" si="4"/>
        <v>9.0909090909090912E-2</v>
      </c>
      <c r="K35" s="12" t="s">
        <v>137</v>
      </c>
      <c r="L35" s="12" t="s">
        <v>161</v>
      </c>
      <c r="M35" s="12" t="s">
        <v>137</v>
      </c>
      <c r="N35" s="12" t="s">
        <v>140</v>
      </c>
      <c r="O35" s="40" t="s">
        <v>41</v>
      </c>
      <c r="P35" s="29"/>
      <c r="Q35" s="12" t="s">
        <v>170</v>
      </c>
      <c r="R35" s="12" t="s">
        <v>179</v>
      </c>
      <c r="S35" s="12">
        <v>1</v>
      </c>
      <c r="T35" s="12" t="s">
        <v>161</v>
      </c>
      <c r="U35" s="40" t="s">
        <v>41</v>
      </c>
      <c r="V35" s="29"/>
      <c r="W35" s="79"/>
      <c r="X35" s="79"/>
      <c r="Y35" s="79"/>
      <c r="Z35" s="79"/>
      <c r="AA35" s="79"/>
      <c r="AB35" s="79"/>
      <c r="AC35" s="40"/>
      <c r="AD35" s="29"/>
      <c r="AE35" s="79"/>
      <c r="AF35" s="79"/>
      <c r="AG35" s="79"/>
      <c r="AH35" s="79"/>
      <c r="AI35" s="79"/>
      <c r="AJ35" s="79"/>
      <c r="AK35" s="40"/>
    </row>
    <row r="36" spans="1:37" x14ac:dyDescent="0.25">
      <c r="A36" s="29"/>
      <c r="B36" s="12" t="s">
        <v>8</v>
      </c>
      <c r="C36" s="12" t="s">
        <v>129</v>
      </c>
      <c r="D36" s="12" t="s">
        <v>138</v>
      </c>
      <c r="E36" s="12">
        <v>20</v>
      </c>
      <c r="F36" s="12" t="s">
        <v>40</v>
      </c>
      <c r="G36" s="12">
        <v>16</v>
      </c>
      <c r="H36" s="12">
        <v>4</v>
      </c>
      <c r="I36" s="12">
        <v>0</v>
      </c>
      <c r="J36" s="12">
        <f t="shared" si="4"/>
        <v>0.8</v>
      </c>
      <c r="K36" s="12" t="s">
        <v>136</v>
      </c>
      <c r="L36" s="12" t="s">
        <v>158</v>
      </c>
      <c r="M36" s="12" t="s">
        <v>169</v>
      </c>
      <c r="N36" s="12" t="s">
        <v>161</v>
      </c>
      <c r="O36" s="40" t="s">
        <v>40</v>
      </c>
      <c r="P36" s="29"/>
      <c r="Q36" s="12" t="s">
        <v>166</v>
      </c>
      <c r="R36" s="12" t="s">
        <v>172</v>
      </c>
      <c r="S36" s="12">
        <v>1</v>
      </c>
      <c r="T36" s="12" t="s">
        <v>161</v>
      </c>
      <c r="U36" s="40" t="s">
        <v>41</v>
      </c>
      <c r="V36" s="29"/>
      <c r="W36" s="12" t="s">
        <v>136</v>
      </c>
      <c r="X36" s="12" t="s">
        <v>168</v>
      </c>
      <c r="Y36" s="12" t="s">
        <v>172</v>
      </c>
      <c r="Z36" s="12" t="s">
        <v>136</v>
      </c>
      <c r="AA36" s="12">
        <v>2</v>
      </c>
      <c r="AB36" s="12" t="s">
        <v>140</v>
      </c>
      <c r="AC36" s="40" t="s">
        <v>41</v>
      </c>
      <c r="AD36" s="29"/>
      <c r="AE36" s="79"/>
      <c r="AF36" s="79"/>
      <c r="AG36" s="79"/>
      <c r="AH36" s="79"/>
      <c r="AI36" s="79"/>
      <c r="AJ36" s="79"/>
      <c r="AK36" s="40"/>
    </row>
    <row r="37" spans="1:37" x14ac:dyDescent="0.25">
      <c r="A37" s="29"/>
      <c r="B37" s="12" t="s">
        <v>9</v>
      </c>
      <c r="C37" s="12" t="s">
        <v>129</v>
      </c>
      <c r="D37" s="12" t="s">
        <v>138</v>
      </c>
      <c r="E37" s="12">
        <v>20</v>
      </c>
      <c r="F37" s="12" t="s">
        <v>40</v>
      </c>
      <c r="G37" s="12">
        <v>16</v>
      </c>
      <c r="H37" s="12">
        <v>4</v>
      </c>
      <c r="I37" s="12">
        <v>0</v>
      </c>
      <c r="J37" s="12">
        <f t="shared" si="4"/>
        <v>0.8</v>
      </c>
      <c r="K37" s="12" t="s">
        <v>136</v>
      </c>
      <c r="L37" s="12" t="s">
        <v>158</v>
      </c>
      <c r="M37" s="12" t="s">
        <v>169</v>
      </c>
      <c r="N37" s="12" t="s">
        <v>161</v>
      </c>
      <c r="O37" s="40" t="s">
        <v>40</v>
      </c>
      <c r="P37" s="29"/>
      <c r="Q37" s="12" t="s">
        <v>166</v>
      </c>
      <c r="R37" s="12" t="s">
        <v>172</v>
      </c>
      <c r="S37" s="12">
        <v>1</v>
      </c>
      <c r="T37" s="12" t="s">
        <v>161</v>
      </c>
      <c r="U37" s="40" t="s">
        <v>41</v>
      </c>
      <c r="V37" s="29"/>
      <c r="W37" s="12" t="s">
        <v>136</v>
      </c>
      <c r="X37" s="12" t="s">
        <v>168</v>
      </c>
      <c r="Y37" s="12" t="s">
        <v>172</v>
      </c>
      <c r="Z37" s="12" t="s">
        <v>136</v>
      </c>
      <c r="AA37" s="12">
        <v>2</v>
      </c>
      <c r="AB37" s="12" t="s">
        <v>140</v>
      </c>
      <c r="AC37" s="40" t="s">
        <v>41</v>
      </c>
      <c r="AD37" s="29"/>
      <c r="AE37" s="79"/>
      <c r="AF37" s="79"/>
      <c r="AG37" s="79"/>
      <c r="AH37" s="79"/>
      <c r="AI37" s="79"/>
      <c r="AJ37" s="79"/>
      <c r="AK37" s="40"/>
    </row>
    <row r="38" spans="1:37" x14ac:dyDescent="0.25">
      <c r="A38" s="29"/>
      <c r="B38" s="12" t="s">
        <v>8</v>
      </c>
      <c r="C38" s="12" t="s">
        <v>130</v>
      </c>
      <c r="D38" s="12" t="s">
        <v>138</v>
      </c>
      <c r="E38" s="12">
        <v>32</v>
      </c>
      <c r="F38" s="12" t="s">
        <v>40</v>
      </c>
      <c r="G38" s="12">
        <v>13</v>
      </c>
      <c r="H38" s="12">
        <v>15</v>
      </c>
      <c r="I38" s="12">
        <v>4</v>
      </c>
      <c r="J38" s="12">
        <f t="shared" si="4"/>
        <v>0.40625</v>
      </c>
      <c r="K38" s="12" t="s">
        <v>137</v>
      </c>
      <c r="L38" s="12" t="s">
        <v>161</v>
      </c>
      <c r="M38" s="12" t="s">
        <v>136</v>
      </c>
      <c r="N38" s="12" t="s">
        <v>161</v>
      </c>
      <c r="O38" s="40" t="s">
        <v>41</v>
      </c>
      <c r="P38" s="29"/>
      <c r="Q38" s="12" t="s">
        <v>136</v>
      </c>
      <c r="R38" s="12" t="s">
        <v>180</v>
      </c>
      <c r="S38" s="12">
        <v>2</v>
      </c>
      <c r="T38" s="12" t="s">
        <v>140</v>
      </c>
      <c r="U38" s="40" t="s">
        <v>41</v>
      </c>
      <c r="V38" s="29"/>
      <c r="W38" s="12" t="s">
        <v>136</v>
      </c>
      <c r="X38" s="12" t="s">
        <v>136</v>
      </c>
      <c r="Y38" s="12" t="s">
        <v>180</v>
      </c>
      <c r="Z38" s="12" t="s">
        <v>136</v>
      </c>
      <c r="AA38" s="12">
        <v>3</v>
      </c>
      <c r="AB38" s="12" t="s">
        <v>158</v>
      </c>
      <c r="AC38" s="40" t="s">
        <v>40</v>
      </c>
      <c r="AD38" s="29"/>
      <c r="AE38" s="12" t="s">
        <v>136</v>
      </c>
      <c r="AF38" s="12" t="s">
        <v>136</v>
      </c>
      <c r="AG38" s="12" t="s">
        <v>180</v>
      </c>
      <c r="AH38" s="12" t="s">
        <v>136</v>
      </c>
      <c r="AI38" s="12">
        <v>3</v>
      </c>
      <c r="AJ38" s="12" t="s">
        <v>158</v>
      </c>
      <c r="AK38" s="40" t="s">
        <v>40</v>
      </c>
    </row>
    <row r="39" spans="1:37" x14ac:dyDescent="0.25">
      <c r="A39" s="29"/>
      <c r="B39" s="12" t="s">
        <v>9</v>
      </c>
      <c r="C39" s="12" t="s">
        <v>130</v>
      </c>
      <c r="D39" s="12" t="s">
        <v>138</v>
      </c>
      <c r="E39" s="12">
        <v>32</v>
      </c>
      <c r="F39" s="12" t="s">
        <v>40</v>
      </c>
      <c r="G39" s="12">
        <v>13</v>
      </c>
      <c r="H39" s="12">
        <v>15</v>
      </c>
      <c r="I39" s="12">
        <v>4</v>
      </c>
      <c r="J39" s="12">
        <f t="shared" si="4"/>
        <v>0.40625</v>
      </c>
      <c r="K39" s="12" t="s">
        <v>137</v>
      </c>
      <c r="L39" s="12" t="s">
        <v>161</v>
      </c>
      <c r="M39" s="12" t="s">
        <v>136</v>
      </c>
      <c r="N39" s="12" t="s">
        <v>161</v>
      </c>
      <c r="O39" s="40" t="s">
        <v>41</v>
      </c>
      <c r="P39" s="29"/>
      <c r="Q39" s="12" t="s">
        <v>136</v>
      </c>
      <c r="R39" s="12" t="s">
        <v>180</v>
      </c>
      <c r="S39" s="12">
        <v>2</v>
      </c>
      <c r="T39" s="12" t="s">
        <v>140</v>
      </c>
      <c r="U39" s="40" t="s">
        <v>41</v>
      </c>
      <c r="V39" s="29"/>
      <c r="W39" s="12" t="s">
        <v>136</v>
      </c>
      <c r="X39" s="12" t="s">
        <v>136</v>
      </c>
      <c r="Y39" s="12" t="s">
        <v>180</v>
      </c>
      <c r="Z39" s="12" t="s">
        <v>136</v>
      </c>
      <c r="AA39" s="12">
        <v>3</v>
      </c>
      <c r="AB39" s="12" t="s">
        <v>158</v>
      </c>
      <c r="AC39" s="40" t="s">
        <v>40</v>
      </c>
      <c r="AD39" s="29"/>
      <c r="AE39" s="12" t="s">
        <v>136</v>
      </c>
      <c r="AF39" s="12" t="s">
        <v>136</v>
      </c>
      <c r="AG39" s="12" t="s">
        <v>180</v>
      </c>
      <c r="AH39" s="12" t="s">
        <v>136</v>
      </c>
      <c r="AI39" s="12">
        <v>3</v>
      </c>
      <c r="AJ39" s="12" t="s">
        <v>158</v>
      </c>
      <c r="AK39" s="40" t="s">
        <v>40</v>
      </c>
    </row>
    <row r="40" spans="1:37" x14ac:dyDescent="0.25">
      <c r="A40" s="29"/>
      <c r="B40" s="12" t="s">
        <v>8</v>
      </c>
      <c r="C40" s="12" t="s">
        <v>131</v>
      </c>
      <c r="D40" s="12" t="s">
        <v>138</v>
      </c>
      <c r="E40" s="12">
        <v>12</v>
      </c>
      <c r="F40" s="12" t="s">
        <v>40</v>
      </c>
      <c r="G40" s="12">
        <v>10</v>
      </c>
      <c r="H40" s="12">
        <v>2</v>
      </c>
      <c r="I40" s="12">
        <v>0</v>
      </c>
      <c r="J40" s="12">
        <f t="shared" si="4"/>
        <v>0.83333333333333337</v>
      </c>
      <c r="K40" s="12" t="s">
        <v>136</v>
      </c>
      <c r="L40" s="12" t="s">
        <v>158</v>
      </c>
      <c r="M40" s="12" t="s">
        <v>136</v>
      </c>
      <c r="N40" s="12" t="s">
        <v>161</v>
      </c>
      <c r="O40" s="40" t="s">
        <v>40</v>
      </c>
      <c r="P40" s="29"/>
      <c r="Q40" s="12" t="s">
        <v>170</v>
      </c>
      <c r="R40" s="12" t="s">
        <v>171</v>
      </c>
      <c r="S40" s="12">
        <v>1</v>
      </c>
      <c r="T40" s="12" t="s">
        <v>161</v>
      </c>
      <c r="U40" s="40" t="s">
        <v>41</v>
      </c>
      <c r="V40" s="29"/>
      <c r="W40" s="79"/>
      <c r="X40" s="79"/>
      <c r="Y40" s="79"/>
      <c r="Z40" s="79"/>
      <c r="AA40" s="79"/>
      <c r="AB40" s="79"/>
      <c r="AC40" s="40"/>
      <c r="AD40" s="29"/>
      <c r="AE40" s="79"/>
      <c r="AF40" s="79"/>
      <c r="AG40" s="79"/>
      <c r="AH40" s="79"/>
      <c r="AI40" s="79"/>
      <c r="AJ40" s="79"/>
      <c r="AK40" s="40"/>
    </row>
    <row r="41" spans="1:37" x14ac:dyDescent="0.25">
      <c r="A41" s="29"/>
      <c r="B41" s="12" t="s">
        <v>8</v>
      </c>
      <c r="C41" s="12" t="s">
        <v>131</v>
      </c>
      <c r="D41" s="12" t="s">
        <v>138</v>
      </c>
      <c r="E41" s="12">
        <v>12</v>
      </c>
      <c r="F41" s="12" t="s">
        <v>40</v>
      </c>
      <c r="G41" s="12">
        <v>10</v>
      </c>
      <c r="H41" s="12">
        <v>2</v>
      </c>
      <c r="I41" s="12">
        <v>0</v>
      </c>
      <c r="J41" s="12">
        <f t="shared" si="4"/>
        <v>0.83333333333333337</v>
      </c>
      <c r="K41" s="12" t="s">
        <v>136</v>
      </c>
      <c r="L41" s="12" t="s">
        <v>158</v>
      </c>
      <c r="M41" s="12" t="s">
        <v>136</v>
      </c>
      <c r="N41" s="12" t="s">
        <v>161</v>
      </c>
      <c r="O41" s="40" t="s">
        <v>40</v>
      </c>
      <c r="P41" s="29"/>
      <c r="Q41" s="12" t="s">
        <v>170</v>
      </c>
      <c r="R41" s="12" t="s">
        <v>171</v>
      </c>
      <c r="S41" s="12">
        <v>1</v>
      </c>
      <c r="T41" s="12" t="s">
        <v>161</v>
      </c>
      <c r="U41" s="40" t="s">
        <v>41</v>
      </c>
      <c r="V41" s="29"/>
      <c r="W41" s="79"/>
      <c r="X41" s="79"/>
      <c r="Y41" s="79"/>
      <c r="Z41" s="79"/>
      <c r="AA41" s="79"/>
      <c r="AB41" s="79"/>
      <c r="AC41" s="40"/>
      <c r="AD41" s="29"/>
      <c r="AE41" s="79"/>
      <c r="AF41" s="79"/>
      <c r="AG41" s="79"/>
      <c r="AH41" s="79"/>
      <c r="AI41" s="79"/>
      <c r="AJ41" s="79"/>
      <c r="AK41" s="40"/>
    </row>
    <row r="42" spans="1:37" x14ac:dyDescent="0.25">
      <c r="A42" s="29"/>
      <c r="B42" s="12" t="s">
        <v>8</v>
      </c>
      <c r="C42" s="12" t="s">
        <v>132</v>
      </c>
      <c r="D42" s="12" t="s">
        <v>138</v>
      </c>
      <c r="E42" s="12">
        <v>9</v>
      </c>
      <c r="F42" s="12" t="s">
        <v>40</v>
      </c>
      <c r="G42" s="12">
        <v>8</v>
      </c>
      <c r="H42" s="12">
        <v>1</v>
      </c>
      <c r="I42" s="12">
        <v>0</v>
      </c>
      <c r="J42" s="12">
        <f t="shared" si="4"/>
        <v>0.88888888888888884</v>
      </c>
      <c r="K42" s="12" t="s">
        <v>136</v>
      </c>
      <c r="L42" s="12" t="s">
        <v>158</v>
      </c>
      <c r="M42" s="12" t="s">
        <v>136</v>
      </c>
      <c r="N42" s="12" t="s">
        <v>161</v>
      </c>
      <c r="O42" s="40" t="s">
        <v>40</v>
      </c>
      <c r="P42" s="29"/>
      <c r="Q42" s="12" t="s">
        <v>136</v>
      </c>
      <c r="R42" s="12" t="s">
        <v>136</v>
      </c>
      <c r="S42" s="12">
        <v>3</v>
      </c>
      <c r="T42" s="12" t="s">
        <v>158</v>
      </c>
      <c r="U42" s="40" t="s">
        <v>39</v>
      </c>
      <c r="V42" s="29"/>
      <c r="W42" s="79"/>
      <c r="X42" s="79"/>
      <c r="Y42" s="79"/>
      <c r="Z42" s="79"/>
      <c r="AA42" s="79"/>
      <c r="AB42" s="79"/>
      <c r="AC42" s="40"/>
      <c r="AD42" s="29"/>
      <c r="AE42" s="79"/>
      <c r="AF42" s="79"/>
      <c r="AG42" s="79"/>
      <c r="AH42" s="79"/>
      <c r="AI42" s="79"/>
      <c r="AJ42" s="79"/>
      <c r="AK42" s="40"/>
    </row>
    <row r="43" spans="1:37" x14ac:dyDescent="0.25">
      <c r="A43" s="29"/>
      <c r="B43" s="12" t="s">
        <v>9</v>
      </c>
      <c r="C43" s="12" t="s">
        <v>132</v>
      </c>
      <c r="D43" s="12" t="s">
        <v>138</v>
      </c>
      <c r="E43" s="12">
        <v>9</v>
      </c>
      <c r="F43" s="12" t="s">
        <v>40</v>
      </c>
      <c r="G43" s="12">
        <v>8</v>
      </c>
      <c r="H43" s="12">
        <v>1</v>
      </c>
      <c r="I43" s="12">
        <v>0</v>
      </c>
      <c r="J43" s="12">
        <f t="shared" si="4"/>
        <v>0.88888888888888884</v>
      </c>
      <c r="K43" s="12" t="s">
        <v>136</v>
      </c>
      <c r="L43" s="12" t="s">
        <v>158</v>
      </c>
      <c r="M43" s="12" t="s">
        <v>136</v>
      </c>
      <c r="N43" s="12" t="s">
        <v>161</v>
      </c>
      <c r="O43" s="40" t="s">
        <v>40</v>
      </c>
      <c r="P43" s="29"/>
      <c r="Q43" s="12" t="s">
        <v>136</v>
      </c>
      <c r="R43" s="12" t="s">
        <v>136</v>
      </c>
      <c r="S43" s="12">
        <v>3</v>
      </c>
      <c r="T43" s="12" t="s">
        <v>158</v>
      </c>
      <c r="U43" s="40" t="s">
        <v>39</v>
      </c>
      <c r="V43" s="29"/>
      <c r="W43" s="79"/>
      <c r="X43" s="79"/>
      <c r="Y43" s="79"/>
      <c r="Z43" s="79"/>
      <c r="AA43" s="79"/>
      <c r="AB43" s="79"/>
      <c r="AC43" s="40"/>
      <c r="AD43" s="29"/>
      <c r="AE43" s="79"/>
      <c r="AF43" s="79"/>
      <c r="AG43" s="79"/>
      <c r="AH43" s="79"/>
      <c r="AI43" s="79"/>
      <c r="AJ43" s="79"/>
      <c r="AK43" s="40"/>
    </row>
    <row r="44" spans="1:37" x14ac:dyDescent="0.25">
      <c r="A44" s="29"/>
      <c r="B44" s="12" t="s">
        <v>8</v>
      </c>
      <c r="C44" s="12" t="s">
        <v>133</v>
      </c>
      <c r="D44" s="12" t="s">
        <v>138</v>
      </c>
      <c r="E44" s="12">
        <v>39</v>
      </c>
      <c r="F44" s="12" t="s">
        <v>40</v>
      </c>
      <c r="G44" s="12">
        <v>28</v>
      </c>
      <c r="H44" s="12">
        <v>11</v>
      </c>
      <c r="I44" s="12">
        <v>0</v>
      </c>
      <c r="J44" s="12">
        <f t="shared" si="4"/>
        <v>0.71794871794871795</v>
      </c>
      <c r="K44" s="12" t="s">
        <v>136</v>
      </c>
      <c r="L44" s="12" t="s">
        <v>158</v>
      </c>
      <c r="M44" s="12" t="s">
        <v>137</v>
      </c>
      <c r="N44" s="12" t="s">
        <v>140</v>
      </c>
      <c r="O44" s="40" t="s">
        <v>39</v>
      </c>
      <c r="P44" s="29"/>
      <c r="Q44" s="12" t="s">
        <v>136</v>
      </c>
      <c r="R44" s="12" t="s">
        <v>136</v>
      </c>
      <c r="S44" s="12">
        <v>3</v>
      </c>
      <c r="T44" s="12" t="s">
        <v>158</v>
      </c>
      <c r="U44" s="40" t="s">
        <v>38</v>
      </c>
      <c r="V44" s="29"/>
      <c r="W44" s="12" t="s">
        <v>136</v>
      </c>
      <c r="X44" s="12" t="s">
        <v>136</v>
      </c>
      <c r="Y44" s="12" t="s">
        <v>136</v>
      </c>
      <c r="Z44" s="12" t="s">
        <v>136</v>
      </c>
      <c r="AA44" s="12">
        <v>3</v>
      </c>
      <c r="AB44" s="12" t="s">
        <v>158</v>
      </c>
      <c r="AC44" s="40" t="s">
        <v>38</v>
      </c>
      <c r="AD44" s="29"/>
      <c r="AE44" s="12" t="s">
        <v>136</v>
      </c>
      <c r="AF44" s="12" t="s">
        <v>136</v>
      </c>
      <c r="AG44" s="12" t="s">
        <v>136</v>
      </c>
      <c r="AH44" s="12" t="s">
        <v>136</v>
      </c>
      <c r="AI44" s="12">
        <v>3</v>
      </c>
      <c r="AJ44" s="12" t="s">
        <v>158</v>
      </c>
      <c r="AK44" s="40" t="s">
        <v>38</v>
      </c>
    </row>
    <row r="45" spans="1:37" ht="22" thickBot="1" x14ac:dyDescent="0.3">
      <c r="A45" s="30"/>
      <c r="B45" s="43" t="s">
        <v>9</v>
      </c>
      <c r="C45" s="43" t="s">
        <v>133</v>
      </c>
      <c r="D45" s="43" t="s">
        <v>138</v>
      </c>
      <c r="E45" s="43">
        <v>39</v>
      </c>
      <c r="F45" s="43" t="s">
        <v>40</v>
      </c>
      <c r="G45" s="43">
        <v>28</v>
      </c>
      <c r="H45" s="43">
        <v>11</v>
      </c>
      <c r="I45" s="43">
        <v>0</v>
      </c>
      <c r="J45" s="43">
        <f t="shared" si="4"/>
        <v>0.71794871794871795</v>
      </c>
      <c r="K45" s="43" t="s">
        <v>136</v>
      </c>
      <c r="L45" s="43" t="s">
        <v>158</v>
      </c>
      <c r="M45" s="43" t="s">
        <v>137</v>
      </c>
      <c r="N45" s="43" t="s">
        <v>140</v>
      </c>
      <c r="O45" s="48" t="s">
        <v>39</v>
      </c>
      <c r="P45" s="30"/>
      <c r="Q45" s="43" t="s">
        <v>136</v>
      </c>
      <c r="R45" s="43" t="s">
        <v>136</v>
      </c>
      <c r="S45" s="43">
        <v>3</v>
      </c>
      <c r="T45" s="43" t="s">
        <v>158</v>
      </c>
      <c r="U45" s="48" t="s">
        <v>38</v>
      </c>
      <c r="V45" s="30"/>
      <c r="W45" s="43" t="s">
        <v>136</v>
      </c>
      <c r="X45" s="43" t="s">
        <v>136</v>
      </c>
      <c r="Y45" s="43" t="s">
        <v>136</v>
      </c>
      <c r="Z45" s="43" t="s">
        <v>136</v>
      </c>
      <c r="AA45" s="43">
        <v>3</v>
      </c>
      <c r="AB45" s="43" t="s">
        <v>158</v>
      </c>
      <c r="AC45" s="48" t="s">
        <v>38</v>
      </c>
      <c r="AD45" s="30"/>
      <c r="AE45" s="43" t="s">
        <v>136</v>
      </c>
      <c r="AF45" s="43" t="s">
        <v>136</v>
      </c>
      <c r="AG45" s="43" t="s">
        <v>136</v>
      </c>
      <c r="AH45" s="43" t="s">
        <v>136</v>
      </c>
      <c r="AI45" s="43">
        <v>3</v>
      </c>
      <c r="AJ45" s="43" t="s">
        <v>158</v>
      </c>
      <c r="AK45" s="48" t="s">
        <v>38</v>
      </c>
    </row>
    <row r="48" spans="1:37" x14ac:dyDescent="0.25">
      <c r="A48" s="12" t="s">
        <v>162</v>
      </c>
    </row>
    <row r="49" spans="1:10" x14ac:dyDescent="0.25">
      <c r="A49" s="12" t="s">
        <v>163</v>
      </c>
      <c r="B49" s="34" t="s">
        <v>38</v>
      </c>
    </row>
    <row r="50" spans="1:10" x14ac:dyDescent="0.25">
      <c r="A50" s="12" t="s">
        <v>164</v>
      </c>
      <c r="B50" s="34" t="s">
        <v>39</v>
      </c>
    </row>
    <row r="51" spans="1:10" x14ac:dyDescent="0.25">
      <c r="A51" s="12" t="s">
        <v>165</v>
      </c>
      <c r="B51" s="34" t="s">
        <v>40</v>
      </c>
    </row>
    <row r="58" spans="1:10" x14ac:dyDescent="0.25">
      <c r="J58"/>
    </row>
  </sheetData>
  <mergeCells count="16">
    <mergeCell ref="S1:T1"/>
    <mergeCell ref="Q1:R1"/>
    <mergeCell ref="V1:V3"/>
    <mergeCell ref="A4:A22"/>
    <mergeCell ref="P4:P22"/>
    <mergeCell ref="P1:P3"/>
    <mergeCell ref="A1:A3"/>
    <mergeCell ref="G1:J1"/>
    <mergeCell ref="K1:L1"/>
    <mergeCell ref="AD1:AD3"/>
    <mergeCell ref="AD4:AD22"/>
    <mergeCell ref="AE1:AH1"/>
    <mergeCell ref="AI1:AJ1"/>
    <mergeCell ref="V4:V22"/>
    <mergeCell ref="AA1:AB1"/>
    <mergeCell ref="W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335C-02B3-9E46-9674-DE313DEB6FC9}">
  <dimension ref="A1:AS46"/>
  <sheetViews>
    <sheetView zoomScale="75" zoomScaleNormal="75" workbookViewId="0">
      <selection activeCell="A24" sqref="A24:XFD25"/>
    </sheetView>
  </sheetViews>
  <sheetFormatPr baseColWidth="10" defaultRowHeight="16" x14ac:dyDescent="0.2"/>
  <cols>
    <col min="1" max="1" width="24.33203125" customWidth="1"/>
    <col min="16" max="16" width="29.5" customWidth="1"/>
  </cols>
  <sheetData>
    <row r="1" spans="1:45" ht="22" thickBot="1" x14ac:dyDescent="0.3">
      <c r="A1" s="119" t="s">
        <v>101</v>
      </c>
      <c r="B1" s="41"/>
      <c r="C1" s="23" t="s">
        <v>43</v>
      </c>
      <c r="D1" s="23" t="s">
        <v>112</v>
      </c>
      <c r="E1" s="22" t="s">
        <v>107</v>
      </c>
      <c r="F1" s="23" t="s">
        <v>134</v>
      </c>
      <c r="G1" s="117" t="s">
        <v>102</v>
      </c>
      <c r="H1" s="122"/>
      <c r="I1" s="122"/>
      <c r="J1" s="118"/>
      <c r="K1" s="117" t="s">
        <v>101</v>
      </c>
      <c r="L1" s="118"/>
      <c r="M1" s="21" t="s">
        <v>105</v>
      </c>
      <c r="N1" s="36" t="s">
        <v>101</v>
      </c>
      <c r="O1" s="45" t="s">
        <v>152</v>
      </c>
      <c r="P1" s="109" t="s">
        <v>101</v>
      </c>
      <c r="Q1" s="37" t="s">
        <v>104</v>
      </c>
      <c r="R1" s="38"/>
      <c r="S1" s="117" t="s">
        <v>101</v>
      </c>
      <c r="T1" s="118"/>
      <c r="U1" s="45" t="s">
        <v>149</v>
      </c>
      <c r="V1" s="109" t="s">
        <v>101</v>
      </c>
      <c r="W1" s="114" t="s">
        <v>104</v>
      </c>
      <c r="X1" s="116"/>
      <c r="Y1" s="117" t="s">
        <v>101</v>
      </c>
      <c r="Z1" s="118"/>
      <c r="AA1" s="45" t="s">
        <v>149</v>
      </c>
      <c r="AB1" s="127" t="s">
        <v>101</v>
      </c>
      <c r="AC1" s="130" t="s">
        <v>104</v>
      </c>
      <c r="AD1" s="131"/>
      <c r="AE1" s="123" t="s">
        <v>101</v>
      </c>
      <c r="AF1" s="124"/>
      <c r="AG1" s="49" t="s">
        <v>149</v>
      </c>
      <c r="AH1" s="127" t="s">
        <v>101</v>
      </c>
      <c r="AI1" s="130" t="s">
        <v>104</v>
      </c>
      <c r="AJ1" s="131"/>
      <c r="AK1" s="123" t="s">
        <v>101</v>
      </c>
      <c r="AL1" s="124"/>
      <c r="AM1" s="49" t="s">
        <v>149</v>
      </c>
      <c r="AN1" s="127" t="s">
        <v>101</v>
      </c>
      <c r="AO1" s="130" t="s">
        <v>104</v>
      </c>
      <c r="AP1" s="131"/>
      <c r="AQ1" s="123" t="s">
        <v>101</v>
      </c>
      <c r="AR1" s="124"/>
      <c r="AS1" s="49" t="s">
        <v>149</v>
      </c>
    </row>
    <row r="2" spans="1:45" ht="22" thickBot="1" x14ac:dyDescent="0.3">
      <c r="A2" s="120"/>
      <c r="B2" s="12"/>
      <c r="C2" s="12"/>
      <c r="D2" s="12"/>
      <c r="E2" s="12"/>
      <c r="F2" s="12"/>
      <c r="G2" s="31" t="s">
        <v>40</v>
      </c>
      <c r="H2" s="32" t="s">
        <v>39</v>
      </c>
      <c r="I2" s="33" t="s">
        <v>38</v>
      </c>
      <c r="J2" s="28" t="s">
        <v>135</v>
      </c>
      <c r="K2" s="36" t="s">
        <v>141</v>
      </c>
      <c r="L2" s="35" t="s">
        <v>142</v>
      </c>
      <c r="M2" s="21" t="s">
        <v>148</v>
      </c>
      <c r="N2" s="39" t="s">
        <v>142</v>
      </c>
      <c r="O2" s="46"/>
      <c r="P2" s="110"/>
      <c r="Q2" s="21" t="s">
        <v>143</v>
      </c>
      <c r="R2" s="21" t="s">
        <v>145</v>
      </c>
      <c r="S2" s="35" t="s">
        <v>147</v>
      </c>
      <c r="T2" s="35" t="s">
        <v>142</v>
      </c>
      <c r="U2" s="46"/>
      <c r="V2" s="110"/>
      <c r="W2" s="21" t="s">
        <v>143</v>
      </c>
      <c r="X2" s="21" t="s">
        <v>145</v>
      </c>
      <c r="Y2" s="35" t="s">
        <v>147</v>
      </c>
      <c r="Z2" s="35" t="s">
        <v>142</v>
      </c>
      <c r="AA2" s="46"/>
      <c r="AB2" s="128"/>
      <c r="AC2" s="50" t="s">
        <v>143</v>
      </c>
      <c r="AD2" s="50" t="s">
        <v>145</v>
      </c>
      <c r="AE2" s="51" t="s">
        <v>147</v>
      </c>
      <c r="AF2" s="51" t="s">
        <v>142</v>
      </c>
      <c r="AG2" s="52"/>
      <c r="AH2" s="128"/>
      <c r="AI2" s="50" t="s">
        <v>143</v>
      </c>
      <c r="AJ2" s="50" t="s">
        <v>145</v>
      </c>
      <c r="AK2" s="51" t="s">
        <v>147</v>
      </c>
      <c r="AL2" s="51" t="s">
        <v>142</v>
      </c>
      <c r="AM2" s="52"/>
      <c r="AN2" s="128"/>
      <c r="AO2" s="50" t="s">
        <v>143</v>
      </c>
      <c r="AP2" s="50" t="s">
        <v>145</v>
      </c>
      <c r="AQ2" s="51" t="s">
        <v>147</v>
      </c>
      <c r="AR2" s="51" t="s">
        <v>142</v>
      </c>
      <c r="AS2" s="52"/>
    </row>
    <row r="3" spans="1:45" ht="22" thickBot="1" x14ac:dyDescent="0.3">
      <c r="A3" s="121"/>
      <c r="B3" s="42" t="s">
        <v>1</v>
      </c>
      <c r="C3" s="4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47"/>
      <c r="P3" s="111"/>
      <c r="Q3" s="12"/>
      <c r="R3" s="12"/>
      <c r="S3" s="12"/>
      <c r="T3" s="12"/>
      <c r="U3" s="47"/>
      <c r="V3" s="111"/>
      <c r="W3" s="12"/>
      <c r="X3" s="12"/>
      <c r="Y3" s="12"/>
      <c r="Z3" s="12"/>
      <c r="AA3" s="47"/>
      <c r="AB3" s="129"/>
      <c r="AC3" s="27"/>
      <c r="AD3" s="27"/>
      <c r="AE3" s="27"/>
      <c r="AF3" s="27"/>
      <c r="AG3" s="53"/>
      <c r="AH3" s="129"/>
      <c r="AI3" s="27"/>
      <c r="AJ3" s="27"/>
      <c r="AK3" s="27"/>
      <c r="AL3" s="27"/>
      <c r="AM3" s="53"/>
      <c r="AN3" s="129"/>
      <c r="AO3" s="27"/>
      <c r="AP3" s="27"/>
      <c r="AQ3" s="27"/>
      <c r="AR3" s="27"/>
      <c r="AS3" s="53"/>
    </row>
    <row r="4" spans="1:45" ht="21" x14ac:dyDescent="0.25">
      <c r="A4" s="112" t="s">
        <v>150</v>
      </c>
      <c r="B4" s="12" t="s">
        <v>8</v>
      </c>
      <c r="C4" s="12" t="s">
        <v>114</v>
      </c>
      <c r="D4" s="12" t="s">
        <v>138</v>
      </c>
      <c r="E4" s="12">
        <v>17</v>
      </c>
      <c r="F4" s="12" t="s">
        <v>40</v>
      </c>
      <c r="G4" s="12">
        <v>8</v>
      </c>
      <c r="H4" s="12">
        <v>3</v>
      </c>
      <c r="I4" s="12">
        <v>0</v>
      </c>
      <c r="J4" s="12">
        <f>G4/E4</f>
        <v>0.47058823529411764</v>
      </c>
      <c r="K4" s="12" t="s">
        <v>139</v>
      </c>
      <c r="L4" s="12" t="s">
        <v>161</v>
      </c>
      <c r="M4" s="12" t="s">
        <v>137</v>
      </c>
      <c r="N4" s="12" t="s">
        <v>140</v>
      </c>
      <c r="O4" s="40" t="s">
        <v>41</v>
      </c>
      <c r="P4" s="112" t="s">
        <v>20</v>
      </c>
      <c r="Q4" s="79"/>
      <c r="R4" s="79"/>
      <c r="S4" s="79"/>
      <c r="T4" s="79"/>
      <c r="U4" s="54"/>
      <c r="V4" s="112" t="s">
        <v>21</v>
      </c>
      <c r="W4" s="79"/>
      <c r="X4" s="79"/>
      <c r="Y4" s="79"/>
      <c r="Z4" s="79"/>
      <c r="AA4" s="54"/>
      <c r="AB4" s="125" t="s">
        <v>23</v>
      </c>
      <c r="AC4" s="80"/>
      <c r="AD4" s="80"/>
      <c r="AE4" s="80"/>
      <c r="AF4" s="80"/>
      <c r="AG4" s="54"/>
      <c r="AH4" s="125" t="s">
        <v>22</v>
      </c>
      <c r="AI4" s="80"/>
      <c r="AJ4" s="80"/>
      <c r="AK4" s="80"/>
      <c r="AL4" s="80"/>
      <c r="AM4" s="54"/>
      <c r="AN4" s="125" t="s">
        <v>156</v>
      </c>
      <c r="AO4" s="80"/>
      <c r="AP4" s="80"/>
      <c r="AQ4" s="80"/>
      <c r="AR4" s="80"/>
      <c r="AS4" s="54"/>
    </row>
    <row r="5" spans="1:45" ht="21" x14ac:dyDescent="0.25">
      <c r="A5" s="113"/>
      <c r="B5" s="12" t="s">
        <v>9</v>
      </c>
      <c r="C5" s="12" t="s">
        <v>114</v>
      </c>
      <c r="D5" s="12" t="s">
        <v>138</v>
      </c>
      <c r="E5" s="12">
        <v>17</v>
      </c>
      <c r="F5" s="12" t="s">
        <v>40</v>
      </c>
      <c r="G5" s="12">
        <v>8</v>
      </c>
      <c r="H5" s="12">
        <v>3</v>
      </c>
      <c r="I5" s="12">
        <v>0</v>
      </c>
      <c r="J5" s="12">
        <f>G5/E5</f>
        <v>0.47058823529411764</v>
      </c>
      <c r="K5" s="12" t="s">
        <v>139</v>
      </c>
      <c r="L5" s="12" t="s">
        <v>161</v>
      </c>
      <c r="M5" s="12" t="s">
        <v>137</v>
      </c>
      <c r="N5" s="12" t="s">
        <v>140</v>
      </c>
      <c r="O5" s="40" t="s">
        <v>41</v>
      </c>
      <c r="P5" s="113"/>
      <c r="Q5" s="79"/>
      <c r="R5" s="79"/>
      <c r="S5" s="79"/>
      <c r="T5" s="79"/>
      <c r="U5" s="54"/>
      <c r="V5" s="113"/>
      <c r="W5" s="79"/>
      <c r="X5" s="79"/>
      <c r="Y5" s="79"/>
      <c r="Z5" s="79"/>
      <c r="AA5" s="54"/>
      <c r="AB5" s="126"/>
      <c r="AC5" s="80"/>
      <c r="AD5" s="80"/>
      <c r="AE5" s="80"/>
      <c r="AF5" s="80"/>
      <c r="AG5" s="54"/>
      <c r="AH5" s="126"/>
      <c r="AI5" s="80"/>
      <c r="AJ5" s="80"/>
      <c r="AK5" s="80"/>
      <c r="AL5" s="80"/>
      <c r="AM5" s="54"/>
      <c r="AN5" s="126"/>
      <c r="AO5" s="80"/>
      <c r="AP5" s="80"/>
      <c r="AQ5" s="80"/>
      <c r="AR5" s="80"/>
      <c r="AS5" s="54"/>
    </row>
    <row r="6" spans="1:45" ht="21" x14ac:dyDescent="0.25">
      <c r="A6" s="113"/>
      <c r="B6" s="12" t="s">
        <v>8</v>
      </c>
      <c r="C6" s="12" t="s">
        <v>113</v>
      </c>
      <c r="D6" s="12" t="s">
        <v>138</v>
      </c>
      <c r="E6" s="12">
        <v>6</v>
      </c>
      <c r="F6" s="12" t="s">
        <v>40</v>
      </c>
      <c r="G6" s="12">
        <v>5</v>
      </c>
      <c r="H6" s="12">
        <v>1</v>
      </c>
      <c r="I6" s="12">
        <v>0</v>
      </c>
      <c r="J6" s="12">
        <f t="shared" ref="J6:J10" si="0">G6/E6</f>
        <v>0.83333333333333337</v>
      </c>
      <c r="K6" s="12" t="s">
        <v>136</v>
      </c>
      <c r="L6" s="12" t="s">
        <v>158</v>
      </c>
      <c r="M6" s="12" t="s">
        <v>137</v>
      </c>
      <c r="N6" s="12" t="s">
        <v>140</v>
      </c>
      <c r="O6" s="40" t="s">
        <v>39</v>
      </c>
      <c r="P6" s="113"/>
      <c r="Q6" s="12" t="s">
        <v>137</v>
      </c>
      <c r="R6" s="12" t="s">
        <v>160</v>
      </c>
      <c r="S6" s="12">
        <v>0</v>
      </c>
      <c r="T6" s="12" t="s">
        <v>161</v>
      </c>
      <c r="U6" s="40" t="s">
        <v>40</v>
      </c>
      <c r="V6" s="113"/>
      <c r="W6" s="79"/>
      <c r="X6" s="79"/>
      <c r="Y6" s="79"/>
      <c r="Z6" s="79"/>
      <c r="AA6" s="40"/>
      <c r="AB6" s="126"/>
      <c r="AC6" s="80"/>
      <c r="AD6" s="80"/>
      <c r="AE6" s="80"/>
      <c r="AF6" s="80"/>
      <c r="AG6" s="54"/>
      <c r="AH6" s="126"/>
      <c r="AI6" s="80"/>
      <c r="AJ6" s="80"/>
      <c r="AK6" s="80"/>
      <c r="AL6" s="80"/>
      <c r="AM6" s="54"/>
      <c r="AN6" s="126"/>
      <c r="AO6" s="80"/>
      <c r="AP6" s="80"/>
      <c r="AQ6" s="80"/>
      <c r="AR6" s="80"/>
      <c r="AS6" s="54"/>
    </row>
    <row r="7" spans="1:45" ht="21" x14ac:dyDescent="0.25">
      <c r="A7" s="113"/>
      <c r="B7" s="12" t="s">
        <v>9</v>
      </c>
      <c r="C7" s="12" t="s">
        <v>113</v>
      </c>
      <c r="D7" s="12" t="s">
        <v>138</v>
      </c>
      <c r="E7" s="12">
        <v>6</v>
      </c>
      <c r="F7" s="12" t="s">
        <v>40</v>
      </c>
      <c r="G7" s="12">
        <v>5</v>
      </c>
      <c r="H7" s="12">
        <v>1</v>
      </c>
      <c r="I7" s="12">
        <v>0</v>
      </c>
      <c r="J7" s="12">
        <f t="shared" si="0"/>
        <v>0.83333333333333337</v>
      </c>
      <c r="K7" s="12" t="s">
        <v>136</v>
      </c>
      <c r="L7" s="12" t="s">
        <v>158</v>
      </c>
      <c r="M7" s="12" t="s">
        <v>137</v>
      </c>
      <c r="N7" s="12" t="s">
        <v>140</v>
      </c>
      <c r="O7" s="40" t="s">
        <v>39</v>
      </c>
      <c r="P7" s="113"/>
      <c r="Q7" s="12" t="s">
        <v>137</v>
      </c>
      <c r="R7" s="12" t="s">
        <v>160</v>
      </c>
      <c r="S7" s="12">
        <v>0</v>
      </c>
      <c r="T7" s="12" t="s">
        <v>161</v>
      </c>
      <c r="U7" s="40" t="s">
        <v>40</v>
      </c>
      <c r="V7" s="113"/>
      <c r="W7" s="79"/>
      <c r="X7" s="79"/>
      <c r="Y7" s="79"/>
      <c r="Z7" s="79"/>
      <c r="AA7" s="40"/>
      <c r="AB7" s="126"/>
      <c r="AC7" s="80"/>
      <c r="AD7" s="80"/>
      <c r="AE7" s="80"/>
      <c r="AF7" s="80"/>
      <c r="AG7" s="54"/>
      <c r="AH7" s="126"/>
      <c r="AI7" s="80"/>
      <c r="AJ7" s="80"/>
      <c r="AK7" s="80"/>
      <c r="AL7" s="80"/>
      <c r="AM7" s="54"/>
      <c r="AN7" s="126"/>
      <c r="AO7" s="80"/>
      <c r="AP7" s="80"/>
      <c r="AQ7" s="80"/>
      <c r="AR7" s="80"/>
      <c r="AS7" s="54"/>
    </row>
    <row r="8" spans="1:45" ht="21" x14ac:dyDescent="0.25">
      <c r="A8" s="113"/>
      <c r="B8" s="12" t="s">
        <v>8</v>
      </c>
      <c r="C8" s="12" t="s">
        <v>115</v>
      </c>
      <c r="D8" s="12" t="s">
        <v>138</v>
      </c>
      <c r="E8" s="12">
        <v>5</v>
      </c>
      <c r="F8" s="12" t="s">
        <v>40</v>
      </c>
      <c r="G8" s="12">
        <v>1</v>
      </c>
      <c r="H8" s="12">
        <v>3</v>
      </c>
      <c r="I8" s="12">
        <v>1</v>
      </c>
      <c r="J8" s="12">
        <f t="shared" si="0"/>
        <v>0.2</v>
      </c>
      <c r="K8" s="12" t="s">
        <v>137</v>
      </c>
      <c r="L8" s="12" t="s">
        <v>161</v>
      </c>
      <c r="M8" s="12" t="s">
        <v>137</v>
      </c>
      <c r="N8" s="12" t="s">
        <v>140</v>
      </c>
      <c r="O8" s="40" t="s">
        <v>41</v>
      </c>
      <c r="P8" s="113"/>
      <c r="Q8" s="12" t="s">
        <v>136</v>
      </c>
      <c r="R8" s="12" t="s">
        <v>167</v>
      </c>
      <c r="S8" s="12">
        <v>1</v>
      </c>
      <c r="T8" s="12" t="s">
        <v>140</v>
      </c>
      <c r="U8" s="40" t="s">
        <v>41</v>
      </c>
      <c r="V8" s="113"/>
      <c r="W8" s="79"/>
      <c r="X8" s="79"/>
      <c r="Y8" s="79"/>
      <c r="Z8" s="79"/>
      <c r="AA8" s="40"/>
      <c r="AB8" s="126"/>
      <c r="AC8" s="80"/>
      <c r="AD8" s="80"/>
      <c r="AE8" s="80"/>
      <c r="AF8" s="80"/>
      <c r="AG8" s="54"/>
      <c r="AH8" s="126"/>
      <c r="AI8" s="80"/>
      <c r="AJ8" s="80"/>
      <c r="AK8" s="80"/>
      <c r="AL8" s="80"/>
      <c r="AM8" s="54"/>
      <c r="AN8" s="126"/>
      <c r="AO8" s="80"/>
      <c r="AP8" s="80"/>
      <c r="AQ8" s="80"/>
      <c r="AR8" s="80"/>
      <c r="AS8" s="54"/>
    </row>
    <row r="9" spans="1:45" ht="21" x14ac:dyDescent="0.25">
      <c r="A9" s="113"/>
      <c r="B9" s="12" t="s">
        <v>9</v>
      </c>
      <c r="C9" s="12" t="s">
        <v>115</v>
      </c>
      <c r="D9" s="12" t="s">
        <v>138</v>
      </c>
      <c r="E9" s="12">
        <v>5</v>
      </c>
      <c r="F9" s="12" t="s">
        <v>40</v>
      </c>
      <c r="G9" s="12">
        <v>1</v>
      </c>
      <c r="H9" s="12">
        <v>3</v>
      </c>
      <c r="I9" s="12">
        <v>1</v>
      </c>
      <c r="J9" s="12">
        <f t="shared" si="0"/>
        <v>0.2</v>
      </c>
      <c r="K9" s="12" t="s">
        <v>137</v>
      </c>
      <c r="L9" s="12" t="s">
        <v>161</v>
      </c>
      <c r="M9" s="12" t="s">
        <v>137</v>
      </c>
      <c r="N9" s="12" t="s">
        <v>140</v>
      </c>
      <c r="O9" s="40" t="s">
        <v>41</v>
      </c>
      <c r="P9" s="113"/>
      <c r="Q9" s="12" t="s">
        <v>136</v>
      </c>
      <c r="R9" s="12" t="s">
        <v>167</v>
      </c>
      <c r="S9" s="12">
        <v>1</v>
      </c>
      <c r="T9" s="12" t="s">
        <v>140</v>
      </c>
      <c r="U9" s="40" t="s">
        <v>41</v>
      </c>
      <c r="V9" s="113"/>
      <c r="W9" s="79"/>
      <c r="X9" s="79"/>
      <c r="Y9" s="79"/>
      <c r="Z9" s="79"/>
      <c r="AA9" s="40"/>
      <c r="AB9" s="126"/>
      <c r="AC9" s="80"/>
      <c r="AD9" s="80"/>
      <c r="AE9" s="80"/>
      <c r="AF9" s="80"/>
      <c r="AG9" s="54"/>
      <c r="AH9" s="126"/>
      <c r="AI9" s="80"/>
      <c r="AJ9" s="80"/>
      <c r="AK9" s="80"/>
      <c r="AL9" s="80"/>
      <c r="AM9" s="54"/>
      <c r="AN9" s="126"/>
      <c r="AO9" s="80"/>
      <c r="AP9" s="80"/>
      <c r="AQ9" s="80"/>
      <c r="AR9" s="80"/>
      <c r="AS9" s="54"/>
    </row>
    <row r="10" spans="1:45" ht="21" x14ac:dyDescent="0.25">
      <c r="A10" s="113"/>
      <c r="B10" s="12" t="s">
        <v>8</v>
      </c>
      <c r="C10" s="12" t="s">
        <v>116</v>
      </c>
      <c r="D10" s="12" t="s">
        <v>186</v>
      </c>
      <c r="E10" s="12">
        <v>20</v>
      </c>
      <c r="F10" s="12" t="s">
        <v>40</v>
      </c>
      <c r="G10" s="12">
        <v>4</v>
      </c>
      <c r="H10" s="12" t="s">
        <v>169</v>
      </c>
      <c r="I10" s="12" t="s">
        <v>169</v>
      </c>
      <c r="J10" s="12">
        <f t="shared" si="0"/>
        <v>0.2</v>
      </c>
      <c r="K10" s="12" t="s">
        <v>136</v>
      </c>
      <c r="L10" s="12" t="s">
        <v>158</v>
      </c>
      <c r="M10" s="12" t="s">
        <v>169</v>
      </c>
      <c r="N10" s="12" t="s">
        <v>161</v>
      </c>
      <c r="O10" s="40" t="s">
        <v>40</v>
      </c>
      <c r="P10" s="113"/>
      <c r="Q10" s="79"/>
      <c r="R10" s="79"/>
      <c r="S10" s="79"/>
      <c r="T10" s="79"/>
      <c r="U10" s="40"/>
      <c r="V10" s="113"/>
      <c r="W10" s="12" t="s">
        <v>136</v>
      </c>
      <c r="X10" s="12" t="s">
        <v>171</v>
      </c>
      <c r="Y10" s="12">
        <v>1</v>
      </c>
      <c r="Z10" s="12" t="s">
        <v>140</v>
      </c>
      <c r="AA10" s="40" t="s">
        <v>40</v>
      </c>
      <c r="AB10" s="126"/>
      <c r="AC10" s="80"/>
      <c r="AD10" s="80"/>
      <c r="AE10" s="80"/>
      <c r="AF10" s="80"/>
      <c r="AG10" s="54"/>
      <c r="AH10" s="126"/>
      <c r="AI10" s="80"/>
      <c r="AJ10" s="80"/>
      <c r="AK10" s="80"/>
      <c r="AL10" s="80"/>
      <c r="AM10" s="54"/>
      <c r="AN10" s="126"/>
      <c r="AO10" s="80"/>
      <c r="AP10" s="80"/>
      <c r="AQ10" s="80"/>
      <c r="AR10" s="80"/>
      <c r="AS10" s="54"/>
    </row>
    <row r="11" spans="1:45" ht="21" x14ac:dyDescent="0.25">
      <c r="A11" s="113"/>
      <c r="B11" s="81" t="s">
        <v>9</v>
      </c>
      <c r="C11" s="81" t="s">
        <v>116</v>
      </c>
      <c r="D11" s="81"/>
      <c r="E11" s="81">
        <v>20</v>
      </c>
      <c r="F11" s="81"/>
      <c r="G11" s="81"/>
      <c r="H11" s="81"/>
      <c r="I11" s="81"/>
      <c r="J11" s="81"/>
      <c r="K11" s="81"/>
      <c r="L11" s="81"/>
      <c r="M11" s="81"/>
      <c r="N11" s="81"/>
      <c r="O11" s="40"/>
      <c r="P11" s="113"/>
      <c r="Q11" s="79"/>
      <c r="R11" s="79"/>
      <c r="S11" s="79"/>
      <c r="T11" s="79"/>
      <c r="U11" s="40"/>
      <c r="V11" s="113"/>
      <c r="W11" s="79"/>
      <c r="X11" s="79"/>
      <c r="Y11" s="79"/>
      <c r="Z11" s="79"/>
      <c r="AA11" s="40"/>
      <c r="AB11" s="126"/>
      <c r="AC11" s="80"/>
      <c r="AD11" s="80"/>
      <c r="AE11" s="80"/>
      <c r="AF11" s="80"/>
      <c r="AG11" s="54"/>
      <c r="AH11" s="126"/>
      <c r="AI11" s="80"/>
      <c r="AJ11" s="80"/>
      <c r="AK11" s="80"/>
      <c r="AL11" s="80"/>
      <c r="AM11" s="54"/>
      <c r="AN11" s="126"/>
      <c r="AO11" s="80"/>
      <c r="AP11" s="80"/>
      <c r="AQ11" s="80"/>
      <c r="AR11" s="80"/>
      <c r="AS11" s="54"/>
    </row>
    <row r="12" spans="1:45" ht="21" x14ac:dyDescent="0.25">
      <c r="A12" s="113"/>
      <c r="B12" s="12" t="s">
        <v>8</v>
      </c>
      <c r="C12" s="12" t="s">
        <v>117</v>
      </c>
      <c r="D12" s="12" t="s">
        <v>138</v>
      </c>
      <c r="E12" s="12">
        <v>8</v>
      </c>
      <c r="F12" s="12" t="s">
        <v>40</v>
      </c>
      <c r="G12" s="12">
        <v>5</v>
      </c>
      <c r="H12" s="12">
        <v>3</v>
      </c>
      <c r="I12" s="12">
        <v>0</v>
      </c>
      <c r="J12" s="12">
        <f>G12/E12</f>
        <v>0.625</v>
      </c>
      <c r="K12" s="12" t="s">
        <v>137</v>
      </c>
      <c r="L12" s="12" t="s">
        <v>158</v>
      </c>
      <c r="M12" s="12" t="s">
        <v>169</v>
      </c>
      <c r="N12" s="12" t="s">
        <v>161</v>
      </c>
      <c r="O12" s="40" t="s">
        <v>40</v>
      </c>
      <c r="P12" s="113"/>
      <c r="Q12" s="12" t="s">
        <v>173</v>
      </c>
      <c r="R12" s="12" t="s">
        <v>172</v>
      </c>
      <c r="S12" s="12">
        <v>0</v>
      </c>
      <c r="T12" s="12" t="s">
        <v>161</v>
      </c>
      <c r="U12" s="40" t="s">
        <v>41</v>
      </c>
      <c r="V12" s="113"/>
      <c r="W12" s="79"/>
      <c r="X12" s="79"/>
      <c r="Y12" s="79"/>
      <c r="Z12" s="79"/>
      <c r="AA12" s="40"/>
      <c r="AB12" s="126"/>
      <c r="AC12" s="79"/>
      <c r="AD12" s="79"/>
      <c r="AE12" s="79"/>
      <c r="AF12" s="79"/>
      <c r="AG12" s="54"/>
      <c r="AH12" s="126"/>
      <c r="AI12" s="80"/>
      <c r="AJ12" s="80"/>
      <c r="AK12" s="80"/>
      <c r="AL12" s="80"/>
      <c r="AM12" s="54"/>
      <c r="AN12" s="126"/>
      <c r="AO12" s="80"/>
      <c r="AP12" s="80"/>
      <c r="AQ12" s="80"/>
      <c r="AR12" s="80"/>
      <c r="AS12" s="54"/>
    </row>
    <row r="13" spans="1:45" ht="21" x14ac:dyDescent="0.25">
      <c r="A13" s="113"/>
      <c r="B13" s="12" t="s">
        <v>9</v>
      </c>
      <c r="C13" s="12" t="s">
        <v>117</v>
      </c>
      <c r="D13" s="12" t="s">
        <v>138</v>
      </c>
      <c r="E13" s="12">
        <v>8</v>
      </c>
      <c r="F13" s="12" t="s">
        <v>40</v>
      </c>
      <c r="G13" s="12">
        <v>5</v>
      </c>
      <c r="H13" s="12">
        <v>3</v>
      </c>
      <c r="I13" s="12">
        <v>0</v>
      </c>
      <c r="J13" s="12">
        <f t="shared" ref="J13:J17" si="1">G13/E13</f>
        <v>0.625</v>
      </c>
      <c r="K13" s="12" t="s">
        <v>137</v>
      </c>
      <c r="L13" s="12" t="s">
        <v>158</v>
      </c>
      <c r="M13" s="12" t="s">
        <v>169</v>
      </c>
      <c r="N13" s="12" t="s">
        <v>161</v>
      </c>
      <c r="O13" s="40" t="s">
        <v>40</v>
      </c>
      <c r="P13" s="113"/>
      <c r="Q13" s="12" t="s">
        <v>173</v>
      </c>
      <c r="R13" s="12" t="s">
        <v>172</v>
      </c>
      <c r="S13" s="12">
        <v>0</v>
      </c>
      <c r="T13" s="12" t="s">
        <v>161</v>
      </c>
      <c r="U13" s="40" t="s">
        <v>41</v>
      </c>
      <c r="V13" s="113"/>
      <c r="W13" s="79"/>
      <c r="X13" s="79"/>
      <c r="Y13" s="79"/>
      <c r="Z13" s="79"/>
      <c r="AA13" s="40"/>
      <c r="AB13" s="126"/>
      <c r="AC13" s="79"/>
      <c r="AD13" s="79"/>
      <c r="AE13" s="79"/>
      <c r="AF13" s="79"/>
      <c r="AG13" s="54"/>
      <c r="AH13" s="126"/>
      <c r="AI13" s="80"/>
      <c r="AJ13" s="80"/>
      <c r="AK13" s="80"/>
      <c r="AL13" s="80"/>
      <c r="AM13" s="54"/>
      <c r="AN13" s="126"/>
      <c r="AO13" s="80"/>
      <c r="AP13" s="80"/>
      <c r="AQ13" s="80"/>
      <c r="AR13" s="80"/>
      <c r="AS13" s="54"/>
    </row>
    <row r="14" spans="1:45" ht="21" x14ac:dyDescent="0.25">
      <c r="A14" s="113"/>
      <c r="B14" s="12" t="s">
        <v>8</v>
      </c>
      <c r="C14" s="12" t="s">
        <v>118</v>
      </c>
      <c r="D14" s="12" t="s">
        <v>138</v>
      </c>
      <c r="E14" s="12">
        <v>17</v>
      </c>
      <c r="F14" s="12" t="s">
        <v>40</v>
      </c>
      <c r="G14" s="12">
        <v>6</v>
      </c>
      <c r="H14" s="12">
        <v>9</v>
      </c>
      <c r="I14" s="12">
        <v>2</v>
      </c>
      <c r="J14" s="12">
        <f t="shared" si="1"/>
        <v>0.35294117647058826</v>
      </c>
      <c r="K14" s="12" t="s">
        <v>136</v>
      </c>
      <c r="L14" s="12" t="s">
        <v>161</v>
      </c>
      <c r="M14" s="12" t="s">
        <v>169</v>
      </c>
      <c r="N14" s="12" t="s">
        <v>161</v>
      </c>
      <c r="O14" s="40" t="s">
        <v>41</v>
      </c>
      <c r="P14" s="113"/>
      <c r="Q14" s="12" t="s">
        <v>136</v>
      </c>
      <c r="R14" s="12" t="s">
        <v>136</v>
      </c>
      <c r="S14" s="12">
        <v>2</v>
      </c>
      <c r="T14" s="12" t="s">
        <v>158</v>
      </c>
      <c r="U14" s="40" t="s">
        <v>40</v>
      </c>
      <c r="V14" s="113"/>
      <c r="W14" s="79"/>
      <c r="X14" s="79"/>
      <c r="Y14" s="79"/>
      <c r="Z14" s="79"/>
      <c r="AA14" s="40"/>
      <c r="AB14" s="126"/>
      <c r="AC14" s="79"/>
      <c r="AD14" s="79"/>
      <c r="AE14" s="79"/>
      <c r="AF14" s="79"/>
      <c r="AG14" s="54"/>
      <c r="AH14" s="126"/>
      <c r="AI14" s="80"/>
      <c r="AJ14" s="80"/>
      <c r="AK14" s="80"/>
      <c r="AL14" s="80"/>
      <c r="AM14" s="54"/>
      <c r="AN14" s="126"/>
      <c r="AO14" s="80"/>
      <c r="AP14" s="80"/>
      <c r="AQ14" s="80"/>
      <c r="AR14" s="80"/>
      <c r="AS14" s="54"/>
    </row>
    <row r="15" spans="1:45" ht="21" x14ac:dyDescent="0.25">
      <c r="A15" s="113"/>
      <c r="B15" s="12" t="s">
        <v>9</v>
      </c>
      <c r="C15" s="12" t="s">
        <v>118</v>
      </c>
      <c r="D15" s="12" t="s">
        <v>138</v>
      </c>
      <c r="E15" s="12">
        <v>17</v>
      </c>
      <c r="F15" s="12" t="s">
        <v>40</v>
      </c>
      <c r="G15" s="12">
        <v>6</v>
      </c>
      <c r="H15" s="12">
        <v>9</v>
      </c>
      <c r="I15" s="12">
        <v>2</v>
      </c>
      <c r="J15" s="12">
        <f t="shared" si="1"/>
        <v>0.35294117647058826</v>
      </c>
      <c r="K15" s="12" t="s">
        <v>136</v>
      </c>
      <c r="L15" s="12" t="s">
        <v>161</v>
      </c>
      <c r="M15" s="12" t="s">
        <v>169</v>
      </c>
      <c r="N15" s="12" t="s">
        <v>161</v>
      </c>
      <c r="O15" s="40" t="s">
        <v>41</v>
      </c>
      <c r="P15" s="113"/>
      <c r="Q15" s="12" t="s">
        <v>136</v>
      </c>
      <c r="R15" s="12" t="s">
        <v>136</v>
      </c>
      <c r="S15" s="12">
        <v>2</v>
      </c>
      <c r="T15" s="12" t="s">
        <v>158</v>
      </c>
      <c r="U15" s="40" t="s">
        <v>40</v>
      </c>
      <c r="V15" s="113"/>
      <c r="W15" s="79"/>
      <c r="X15" s="79"/>
      <c r="Y15" s="79"/>
      <c r="Z15" s="79"/>
      <c r="AA15" s="40"/>
      <c r="AB15" s="126"/>
      <c r="AC15" s="79"/>
      <c r="AD15" s="79"/>
      <c r="AE15" s="79"/>
      <c r="AF15" s="79"/>
      <c r="AG15" s="54"/>
      <c r="AH15" s="126"/>
      <c r="AI15" s="80"/>
      <c r="AJ15" s="80"/>
      <c r="AK15" s="80"/>
      <c r="AL15" s="80"/>
      <c r="AM15" s="54"/>
      <c r="AN15" s="126"/>
      <c r="AO15" s="80"/>
      <c r="AP15" s="80"/>
      <c r="AQ15" s="80"/>
      <c r="AR15" s="80"/>
      <c r="AS15" s="54"/>
    </row>
    <row r="16" spans="1:45" ht="21" x14ac:dyDescent="0.25">
      <c r="A16" s="113"/>
      <c r="B16" s="12" t="s">
        <v>8</v>
      </c>
      <c r="C16" s="12" t="s">
        <v>119</v>
      </c>
      <c r="D16" s="12" t="s">
        <v>138</v>
      </c>
      <c r="E16" s="12">
        <v>11</v>
      </c>
      <c r="F16" s="12" t="s">
        <v>40</v>
      </c>
      <c r="G16" s="12">
        <v>4</v>
      </c>
      <c r="H16" s="12">
        <v>0</v>
      </c>
      <c r="I16" s="12">
        <v>7</v>
      </c>
      <c r="J16" s="12">
        <f t="shared" si="1"/>
        <v>0.36363636363636365</v>
      </c>
      <c r="K16" s="12" t="s">
        <v>137</v>
      </c>
      <c r="L16" s="12" t="s">
        <v>161</v>
      </c>
      <c r="M16" s="12" t="s">
        <v>137</v>
      </c>
      <c r="N16" s="12" t="s">
        <v>140</v>
      </c>
      <c r="O16" s="40" t="s">
        <v>41</v>
      </c>
      <c r="P16" s="113"/>
      <c r="Q16" s="79"/>
      <c r="R16" s="79"/>
      <c r="S16" s="79"/>
      <c r="T16" s="79"/>
      <c r="U16" s="40"/>
      <c r="V16" s="113"/>
      <c r="W16" s="79"/>
      <c r="X16" s="79"/>
      <c r="Y16" s="79"/>
      <c r="Z16" s="79"/>
      <c r="AA16" s="40"/>
      <c r="AB16" s="126"/>
      <c r="AC16" s="79"/>
      <c r="AD16" s="79"/>
      <c r="AE16" s="79"/>
      <c r="AF16" s="79"/>
      <c r="AG16" s="54"/>
      <c r="AH16" s="126"/>
      <c r="AI16" s="80"/>
      <c r="AJ16" s="80"/>
      <c r="AK16" s="80"/>
      <c r="AL16" s="80"/>
      <c r="AM16" s="54"/>
      <c r="AN16" s="126"/>
      <c r="AO16" s="80"/>
      <c r="AP16" s="80"/>
      <c r="AQ16" s="80"/>
      <c r="AR16" s="80"/>
      <c r="AS16" s="54"/>
    </row>
    <row r="17" spans="1:45" ht="21" x14ac:dyDescent="0.25">
      <c r="A17" s="113"/>
      <c r="B17" s="12" t="s">
        <v>9</v>
      </c>
      <c r="C17" s="12" t="s">
        <v>119</v>
      </c>
      <c r="D17" s="12" t="s">
        <v>138</v>
      </c>
      <c r="E17" s="12">
        <v>11</v>
      </c>
      <c r="F17" s="12" t="s">
        <v>40</v>
      </c>
      <c r="G17" s="12">
        <v>4</v>
      </c>
      <c r="H17" s="12">
        <v>0</v>
      </c>
      <c r="I17" s="12">
        <v>7</v>
      </c>
      <c r="J17" s="12">
        <f t="shared" si="1"/>
        <v>0.36363636363636365</v>
      </c>
      <c r="K17" s="12" t="s">
        <v>137</v>
      </c>
      <c r="L17" s="12" t="s">
        <v>161</v>
      </c>
      <c r="M17" s="12" t="s">
        <v>137</v>
      </c>
      <c r="N17" s="12" t="s">
        <v>140</v>
      </c>
      <c r="O17" s="40" t="s">
        <v>41</v>
      </c>
      <c r="P17" s="113"/>
      <c r="Q17" s="79"/>
      <c r="R17" s="79"/>
      <c r="S17" s="79"/>
      <c r="T17" s="79"/>
      <c r="U17" s="40"/>
      <c r="V17" s="113"/>
      <c r="W17" s="79"/>
      <c r="X17" s="79"/>
      <c r="Y17" s="79"/>
      <c r="Z17" s="79"/>
      <c r="AA17" s="40"/>
      <c r="AB17" s="126"/>
      <c r="AC17" s="79"/>
      <c r="AD17" s="79"/>
      <c r="AE17" s="79"/>
      <c r="AF17" s="79"/>
      <c r="AG17" s="54"/>
      <c r="AH17" s="126"/>
      <c r="AI17" s="80"/>
      <c r="AJ17" s="80"/>
      <c r="AK17" s="80"/>
      <c r="AL17" s="80"/>
      <c r="AM17" s="54"/>
      <c r="AN17" s="126"/>
      <c r="AO17" s="80"/>
      <c r="AP17" s="80"/>
      <c r="AQ17" s="80"/>
      <c r="AR17" s="80"/>
      <c r="AS17" s="54"/>
    </row>
    <row r="18" spans="1:45" ht="21" x14ac:dyDescent="0.25">
      <c r="A18" s="113"/>
      <c r="B18" s="27" t="s">
        <v>8</v>
      </c>
      <c r="C18" s="27" t="s">
        <v>120</v>
      </c>
      <c r="D18" s="27" t="s">
        <v>138</v>
      </c>
      <c r="E18" s="27">
        <v>57</v>
      </c>
      <c r="F18" s="27" t="s">
        <v>40</v>
      </c>
      <c r="G18" s="27">
        <v>40</v>
      </c>
      <c r="H18" s="27">
        <v>9</v>
      </c>
      <c r="I18" s="27">
        <v>0</v>
      </c>
      <c r="J18" s="27">
        <v>0.70175438599999995</v>
      </c>
      <c r="K18" s="27" t="s">
        <v>136</v>
      </c>
      <c r="L18" s="27" t="s">
        <v>158</v>
      </c>
      <c r="M18" s="27" t="s">
        <v>136</v>
      </c>
      <c r="N18" s="27" t="s">
        <v>161</v>
      </c>
      <c r="O18" s="54" t="s">
        <v>40</v>
      </c>
      <c r="P18" s="113"/>
      <c r="Q18" s="12" t="s">
        <v>136</v>
      </c>
      <c r="R18" s="12" t="s">
        <v>136</v>
      </c>
      <c r="S18" s="12">
        <v>2</v>
      </c>
      <c r="T18" s="12" t="s">
        <v>158</v>
      </c>
      <c r="U18" s="40" t="s">
        <v>39</v>
      </c>
      <c r="V18" s="113"/>
      <c r="W18" s="12" t="s">
        <v>136</v>
      </c>
      <c r="X18" s="12" t="s">
        <v>136</v>
      </c>
      <c r="Y18" s="12">
        <v>2</v>
      </c>
      <c r="Z18" s="12" t="s">
        <v>158</v>
      </c>
      <c r="AA18" s="40" t="s">
        <v>39</v>
      </c>
      <c r="AB18" s="126"/>
      <c r="AC18" s="79"/>
      <c r="AD18" s="79"/>
      <c r="AE18" s="79"/>
      <c r="AF18" s="79"/>
      <c r="AG18" s="54"/>
      <c r="AH18" s="126"/>
      <c r="AI18" s="12" t="s">
        <v>136</v>
      </c>
      <c r="AJ18" s="12" t="s">
        <v>136</v>
      </c>
      <c r="AK18" s="12">
        <v>2</v>
      </c>
      <c r="AL18" s="12" t="s">
        <v>158</v>
      </c>
      <c r="AM18" s="40" t="s">
        <v>39</v>
      </c>
      <c r="AN18" s="126"/>
      <c r="AO18" s="12" t="s">
        <v>136</v>
      </c>
      <c r="AP18" s="12" t="s">
        <v>136</v>
      </c>
      <c r="AQ18" s="12">
        <v>2</v>
      </c>
      <c r="AR18" s="12" t="s">
        <v>158</v>
      </c>
      <c r="AS18" s="40" t="s">
        <v>39</v>
      </c>
    </row>
    <row r="19" spans="1:45" ht="21" x14ac:dyDescent="0.25">
      <c r="A19" s="113"/>
      <c r="B19" s="27" t="s">
        <v>9</v>
      </c>
      <c r="C19" s="27" t="s">
        <v>120</v>
      </c>
      <c r="D19" s="27" t="s">
        <v>138</v>
      </c>
      <c r="E19" s="27">
        <v>57</v>
      </c>
      <c r="F19" s="27" t="s">
        <v>40</v>
      </c>
      <c r="G19" s="27">
        <v>40</v>
      </c>
      <c r="H19" s="27">
        <v>9</v>
      </c>
      <c r="I19" s="27">
        <v>0</v>
      </c>
      <c r="J19" s="27">
        <v>0.70175438599999995</v>
      </c>
      <c r="K19" s="27" t="s">
        <v>136</v>
      </c>
      <c r="L19" s="27" t="s">
        <v>158</v>
      </c>
      <c r="M19" s="27" t="s">
        <v>136</v>
      </c>
      <c r="N19" s="27" t="s">
        <v>161</v>
      </c>
      <c r="O19" s="54" t="s">
        <v>40</v>
      </c>
      <c r="P19" s="113"/>
      <c r="Q19" s="12" t="s">
        <v>136</v>
      </c>
      <c r="R19" s="12" t="s">
        <v>136</v>
      </c>
      <c r="S19" s="12">
        <v>2</v>
      </c>
      <c r="T19" s="12" t="s">
        <v>158</v>
      </c>
      <c r="U19" s="40" t="s">
        <v>39</v>
      </c>
      <c r="V19" s="113"/>
      <c r="W19" s="12" t="s">
        <v>136</v>
      </c>
      <c r="X19" s="12" t="s">
        <v>136</v>
      </c>
      <c r="Y19" s="12">
        <v>2</v>
      </c>
      <c r="Z19" s="12" t="s">
        <v>158</v>
      </c>
      <c r="AA19" s="40" t="s">
        <v>39</v>
      </c>
      <c r="AB19" s="126"/>
      <c r="AC19" s="79"/>
      <c r="AD19" s="79"/>
      <c r="AE19" s="79"/>
      <c r="AF19" s="79"/>
      <c r="AG19" s="54"/>
      <c r="AH19" s="126"/>
      <c r="AI19" s="12" t="s">
        <v>136</v>
      </c>
      <c r="AJ19" s="12" t="s">
        <v>136</v>
      </c>
      <c r="AK19" s="12">
        <v>2</v>
      </c>
      <c r="AL19" s="12" t="s">
        <v>158</v>
      </c>
      <c r="AM19" s="40" t="s">
        <v>39</v>
      </c>
      <c r="AN19" s="126"/>
      <c r="AO19" s="12" t="s">
        <v>136</v>
      </c>
      <c r="AP19" s="12" t="s">
        <v>136</v>
      </c>
      <c r="AQ19" s="12">
        <v>2</v>
      </c>
      <c r="AR19" s="12" t="s">
        <v>158</v>
      </c>
      <c r="AS19" s="40" t="s">
        <v>39</v>
      </c>
    </row>
    <row r="20" spans="1:45" ht="21" x14ac:dyDescent="0.25">
      <c r="A20" s="113"/>
      <c r="B20" s="12" t="s">
        <v>8</v>
      </c>
      <c r="C20" s="12" t="s">
        <v>121</v>
      </c>
      <c r="D20" s="12" t="s">
        <v>138</v>
      </c>
      <c r="E20" s="12">
        <v>7</v>
      </c>
      <c r="F20" s="12" t="s">
        <v>40</v>
      </c>
      <c r="G20" s="12">
        <v>1</v>
      </c>
      <c r="H20" s="12">
        <v>8</v>
      </c>
      <c r="I20" s="12">
        <v>1</v>
      </c>
      <c r="J20" s="12">
        <f>G20/E20</f>
        <v>0.14285714285714285</v>
      </c>
      <c r="K20" s="12" t="s">
        <v>137</v>
      </c>
      <c r="L20" s="12" t="s">
        <v>161</v>
      </c>
      <c r="M20" s="12" t="s">
        <v>169</v>
      </c>
      <c r="N20" s="12" t="s">
        <v>161</v>
      </c>
      <c r="O20" s="40" t="s">
        <v>41</v>
      </c>
      <c r="P20" s="113"/>
      <c r="Q20" s="12" t="s">
        <v>136</v>
      </c>
      <c r="R20" s="12" t="s">
        <v>175</v>
      </c>
      <c r="S20" s="12">
        <v>1</v>
      </c>
      <c r="T20" s="12" t="s">
        <v>140</v>
      </c>
      <c r="U20" s="40" t="s">
        <v>41</v>
      </c>
      <c r="V20" s="113"/>
      <c r="W20" s="79"/>
      <c r="X20" s="79"/>
      <c r="Y20" s="79"/>
      <c r="Z20" s="79"/>
      <c r="AA20" s="40"/>
      <c r="AB20" s="126"/>
      <c r="AC20" s="79"/>
      <c r="AD20" s="79"/>
      <c r="AE20" s="79"/>
      <c r="AF20" s="79"/>
      <c r="AG20" s="54"/>
      <c r="AH20" s="126"/>
      <c r="AI20" s="79"/>
      <c r="AJ20" s="79"/>
      <c r="AK20" s="79"/>
      <c r="AL20" s="79"/>
      <c r="AM20" s="54"/>
      <c r="AN20" s="126"/>
      <c r="AO20" s="79"/>
      <c r="AP20" s="79"/>
      <c r="AQ20" s="79"/>
      <c r="AR20" s="79"/>
      <c r="AS20" s="54"/>
    </row>
    <row r="21" spans="1:45" ht="21" x14ac:dyDescent="0.25">
      <c r="A21" s="113"/>
      <c r="B21" s="12" t="s">
        <v>9</v>
      </c>
      <c r="C21" s="12" t="s">
        <v>121</v>
      </c>
      <c r="D21" s="12" t="s">
        <v>138</v>
      </c>
      <c r="E21" s="12">
        <v>7</v>
      </c>
      <c r="F21" s="12" t="s">
        <v>40</v>
      </c>
      <c r="G21" s="12">
        <v>1</v>
      </c>
      <c r="H21" s="12">
        <v>8</v>
      </c>
      <c r="I21" s="12">
        <v>1</v>
      </c>
      <c r="J21" s="12">
        <f t="shared" ref="J21:J23" si="2">G21/E21</f>
        <v>0.14285714285714285</v>
      </c>
      <c r="K21" s="12" t="s">
        <v>137</v>
      </c>
      <c r="L21" s="12" t="s">
        <v>161</v>
      </c>
      <c r="M21" s="12" t="s">
        <v>169</v>
      </c>
      <c r="N21" s="12" t="s">
        <v>161</v>
      </c>
      <c r="O21" s="40" t="s">
        <v>41</v>
      </c>
      <c r="P21" s="113"/>
      <c r="Q21" s="12" t="s">
        <v>136</v>
      </c>
      <c r="R21" s="12" t="s">
        <v>175</v>
      </c>
      <c r="S21" s="12">
        <v>1</v>
      </c>
      <c r="T21" s="12" t="s">
        <v>140</v>
      </c>
      <c r="U21" s="40" t="s">
        <v>41</v>
      </c>
      <c r="V21" s="113"/>
      <c r="W21" s="79"/>
      <c r="X21" s="79"/>
      <c r="Y21" s="79"/>
      <c r="Z21" s="79"/>
      <c r="AA21" s="40"/>
      <c r="AB21" s="126"/>
      <c r="AC21" s="79"/>
      <c r="AD21" s="79"/>
      <c r="AE21" s="79"/>
      <c r="AF21" s="79"/>
      <c r="AG21" s="54"/>
      <c r="AH21" s="126"/>
      <c r="AI21" s="79"/>
      <c r="AJ21" s="79"/>
      <c r="AK21" s="79"/>
      <c r="AL21" s="79"/>
      <c r="AM21" s="54"/>
      <c r="AN21" s="126"/>
      <c r="AO21" s="79"/>
      <c r="AP21" s="79"/>
      <c r="AQ21" s="79"/>
      <c r="AR21" s="79"/>
      <c r="AS21" s="54"/>
    </row>
    <row r="22" spans="1:45" ht="21" x14ac:dyDescent="0.25">
      <c r="A22" s="113"/>
      <c r="B22" s="12" t="s">
        <v>8</v>
      </c>
      <c r="C22" s="12" t="s">
        <v>122</v>
      </c>
      <c r="D22" s="12" t="s">
        <v>176</v>
      </c>
      <c r="E22" s="12">
        <v>32</v>
      </c>
      <c r="F22" s="12" t="s">
        <v>40</v>
      </c>
      <c r="G22" s="12">
        <v>9</v>
      </c>
      <c r="H22" s="12">
        <v>1</v>
      </c>
      <c r="I22" s="12">
        <v>22</v>
      </c>
      <c r="J22" s="12">
        <f t="shared" si="2"/>
        <v>0.28125</v>
      </c>
      <c r="K22" s="12" t="s">
        <v>137</v>
      </c>
      <c r="L22" s="12" t="s">
        <v>161</v>
      </c>
      <c r="M22" s="12" t="s">
        <v>169</v>
      </c>
      <c r="N22" s="12" t="s">
        <v>140</v>
      </c>
      <c r="O22" s="40" t="s">
        <v>41</v>
      </c>
      <c r="P22" s="113"/>
      <c r="Q22" s="79"/>
      <c r="R22" s="79"/>
      <c r="S22" s="79"/>
      <c r="T22" s="79"/>
      <c r="U22" s="40"/>
      <c r="V22" s="113"/>
      <c r="W22" s="79"/>
      <c r="X22" s="79"/>
      <c r="Y22" s="79"/>
      <c r="Z22" s="79"/>
      <c r="AA22" s="40"/>
      <c r="AB22" s="126"/>
      <c r="AC22" s="79"/>
      <c r="AD22" s="79"/>
      <c r="AE22" s="79"/>
      <c r="AF22" s="79"/>
      <c r="AG22" s="54"/>
      <c r="AH22" s="126"/>
      <c r="AI22" s="79"/>
      <c r="AJ22" s="79"/>
      <c r="AK22" s="79"/>
      <c r="AL22" s="79"/>
      <c r="AM22" s="54"/>
      <c r="AN22" s="126"/>
      <c r="AO22" s="79"/>
      <c r="AP22" s="79"/>
      <c r="AQ22" s="79"/>
      <c r="AR22" s="79"/>
      <c r="AS22" s="54"/>
    </row>
    <row r="23" spans="1:45" ht="21" x14ac:dyDescent="0.25">
      <c r="A23" s="44"/>
      <c r="B23" s="12" t="s">
        <v>9</v>
      </c>
      <c r="C23" s="12" t="s">
        <v>122</v>
      </c>
      <c r="D23" s="12" t="s">
        <v>176</v>
      </c>
      <c r="E23" s="12">
        <v>32</v>
      </c>
      <c r="F23" s="12" t="s">
        <v>40</v>
      </c>
      <c r="G23" s="12">
        <v>9</v>
      </c>
      <c r="H23" s="12">
        <v>1</v>
      </c>
      <c r="I23" s="12">
        <v>22</v>
      </c>
      <c r="J23" s="12">
        <f t="shared" si="2"/>
        <v>0.28125</v>
      </c>
      <c r="K23" s="12" t="s">
        <v>137</v>
      </c>
      <c r="L23" s="12" t="s">
        <v>161</v>
      </c>
      <c r="M23" s="12" t="s">
        <v>137</v>
      </c>
      <c r="N23" s="12" t="s">
        <v>140</v>
      </c>
      <c r="O23" s="40" t="s">
        <v>41</v>
      </c>
      <c r="P23" s="44"/>
      <c r="Q23" s="79"/>
      <c r="R23" s="79"/>
      <c r="S23" s="79"/>
      <c r="T23" s="79"/>
      <c r="U23" s="40"/>
      <c r="V23" s="44"/>
      <c r="W23" s="79"/>
      <c r="X23" s="79"/>
      <c r="Y23" s="79"/>
      <c r="Z23" s="79"/>
      <c r="AA23" s="40"/>
      <c r="AB23" s="55"/>
      <c r="AC23" s="79"/>
      <c r="AD23" s="79"/>
      <c r="AE23" s="79"/>
      <c r="AF23" s="79"/>
      <c r="AG23" s="54"/>
      <c r="AH23" s="55"/>
      <c r="AI23" s="79"/>
      <c r="AJ23" s="79"/>
      <c r="AK23" s="79"/>
      <c r="AL23" s="79"/>
      <c r="AM23" s="54"/>
      <c r="AN23" s="55"/>
      <c r="AO23" s="79"/>
      <c r="AP23" s="79"/>
      <c r="AQ23" s="79"/>
      <c r="AR23" s="79"/>
      <c r="AS23" s="54"/>
    </row>
    <row r="24" spans="1:45" ht="21" x14ac:dyDescent="0.25">
      <c r="A24" s="29"/>
      <c r="B24" s="27" t="s">
        <v>8</v>
      </c>
      <c r="C24" s="27" t="s">
        <v>123</v>
      </c>
      <c r="D24" s="12" t="s">
        <v>138</v>
      </c>
      <c r="E24" s="27">
        <v>81</v>
      </c>
      <c r="F24" s="12" t="s">
        <v>40</v>
      </c>
      <c r="G24" s="27">
        <v>81</v>
      </c>
      <c r="H24" s="27">
        <v>0</v>
      </c>
      <c r="I24" s="27">
        <v>0</v>
      </c>
      <c r="J24" s="27">
        <f>G24/E24</f>
        <v>1</v>
      </c>
      <c r="K24" s="27" t="s">
        <v>136</v>
      </c>
      <c r="L24" s="27" t="s">
        <v>158</v>
      </c>
      <c r="M24" s="27" t="s">
        <v>137</v>
      </c>
      <c r="N24" s="27" t="s">
        <v>140</v>
      </c>
      <c r="O24" s="54" t="s">
        <v>39</v>
      </c>
      <c r="P24" s="29"/>
      <c r="Q24" s="12" t="s">
        <v>173</v>
      </c>
      <c r="R24" s="12" t="s">
        <v>146</v>
      </c>
      <c r="S24" s="12">
        <v>0</v>
      </c>
      <c r="T24" s="12" t="s">
        <v>161</v>
      </c>
      <c r="U24" s="40" t="s">
        <v>40</v>
      </c>
      <c r="V24" s="29"/>
      <c r="W24" s="12" t="s">
        <v>173</v>
      </c>
      <c r="X24" s="12" t="s">
        <v>146</v>
      </c>
      <c r="Y24" s="12">
        <v>0</v>
      </c>
      <c r="Z24" s="12" t="s">
        <v>161</v>
      </c>
      <c r="AA24" s="40" t="s">
        <v>40</v>
      </c>
      <c r="AB24" s="56"/>
      <c r="AC24" s="79"/>
      <c r="AD24" s="79"/>
      <c r="AE24" s="79"/>
      <c r="AF24" s="79"/>
      <c r="AG24" s="54"/>
      <c r="AH24" s="56"/>
      <c r="AI24" s="79"/>
      <c r="AJ24" s="79"/>
      <c r="AK24" s="79"/>
      <c r="AL24" s="79"/>
      <c r="AM24" s="54"/>
      <c r="AN24" s="56"/>
      <c r="AO24" s="79"/>
      <c r="AP24" s="79"/>
      <c r="AQ24" s="79"/>
      <c r="AR24" s="79"/>
      <c r="AS24" s="54"/>
    </row>
    <row r="25" spans="1:45" ht="21" x14ac:dyDescent="0.25">
      <c r="A25" s="29"/>
      <c r="B25" s="27" t="s">
        <v>9</v>
      </c>
      <c r="C25" s="27" t="s">
        <v>123</v>
      </c>
      <c r="D25" s="12" t="s">
        <v>138</v>
      </c>
      <c r="E25" s="27">
        <v>81</v>
      </c>
      <c r="F25" s="12" t="s">
        <v>40</v>
      </c>
      <c r="G25" s="27">
        <v>81</v>
      </c>
      <c r="H25" s="27">
        <v>0</v>
      </c>
      <c r="I25" s="27">
        <v>0</v>
      </c>
      <c r="J25" s="27">
        <f t="shared" ref="J25:J26" si="3">G25/E25</f>
        <v>1</v>
      </c>
      <c r="K25" s="27" t="s">
        <v>136</v>
      </c>
      <c r="L25" s="27" t="s">
        <v>158</v>
      </c>
      <c r="M25" s="27" t="s">
        <v>137</v>
      </c>
      <c r="N25" s="27" t="s">
        <v>140</v>
      </c>
      <c r="O25" s="54" t="s">
        <v>39</v>
      </c>
      <c r="P25" s="29"/>
      <c r="Q25" s="12" t="s">
        <v>173</v>
      </c>
      <c r="R25" s="12" t="s">
        <v>146</v>
      </c>
      <c r="S25" s="12">
        <v>0</v>
      </c>
      <c r="T25" s="12" t="s">
        <v>161</v>
      </c>
      <c r="U25" s="40" t="s">
        <v>40</v>
      </c>
      <c r="V25" s="29"/>
      <c r="W25" s="12" t="s">
        <v>173</v>
      </c>
      <c r="X25" s="12" t="s">
        <v>146</v>
      </c>
      <c r="Y25" s="12">
        <v>0</v>
      </c>
      <c r="Z25" s="12" t="s">
        <v>161</v>
      </c>
      <c r="AA25" s="40" t="s">
        <v>40</v>
      </c>
      <c r="AB25" s="56"/>
      <c r="AC25" s="79"/>
      <c r="AD25" s="79"/>
      <c r="AE25" s="79"/>
      <c r="AF25" s="79"/>
      <c r="AG25" s="54"/>
      <c r="AH25" s="56"/>
      <c r="AI25" s="79"/>
      <c r="AJ25" s="79"/>
      <c r="AK25" s="79"/>
      <c r="AL25" s="79"/>
      <c r="AM25" s="54"/>
      <c r="AN25" s="56"/>
      <c r="AO25" s="79"/>
      <c r="AP25" s="79"/>
      <c r="AQ25" s="79"/>
      <c r="AR25" s="79"/>
      <c r="AS25" s="54"/>
    </row>
    <row r="26" spans="1:45" ht="21" x14ac:dyDescent="0.25">
      <c r="A26" s="29"/>
      <c r="B26" s="12" t="s">
        <v>8</v>
      </c>
      <c r="C26" s="12" t="s">
        <v>124</v>
      </c>
      <c r="D26" s="12" t="s">
        <v>138</v>
      </c>
      <c r="E26" s="12">
        <v>7</v>
      </c>
      <c r="F26" s="12" t="s">
        <v>40</v>
      </c>
      <c r="G26" s="12">
        <v>5</v>
      </c>
      <c r="H26" s="12">
        <v>1</v>
      </c>
      <c r="I26" s="12">
        <v>0</v>
      </c>
      <c r="J26" s="12">
        <f t="shared" si="3"/>
        <v>0.7142857142857143</v>
      </c>
      <c r="K26" s="12" t="s">
        <v>136</v>
      </c>
      <c r="L26" s="12" t="s">
        <v>158</v>
      </c>
      <c r="M26" s="12" t="s">
        <v>169</v>
      </c>
      <c r="N26" s="12" t="s">
        <v>161</v>
      </c>
      <c r="O26" s="40" t="s">
        <v>40</v>
      </c>
      <c r="P26" s="29"/>
      <c r="Q26" s="79"/>
      <c r="R26" s="79"/>
      <c r="S26" s="79"/>
      <c r="T26" s="79"/>
      <c r="U26" s="40"/>
      <c r="V26" s="29"/>
      <c r="W26" s="12" t="s">
        <v>136</v>
      </c>
      <c r="X26" s="12" t="s">
        <v>171</v>
      </c>
      <c r="Y26" s="12">
        <v>1</v>
      </c>
      <c r="Z26" s="12" t="s">
        <v>140</v>
      </c>
      <c r="AA26" s="40" t="s">
        <v>40</v>
      </c>
      <c r="AB26" s="56"/>
      <c r="AC26" s="79"/>
      <c r="AD26" s="79"/>
      <c r="AE26" s="79"/>
      <c r="AF26" s="79"/>
      <c r="AG26" s="54"/>
      <c r="AH26" s="56"/>
      <c r="AI26" s="79"/>
      <c r="AJ26" s="79"/>
      <c r="AK26" s="79"/>
      <c r="AL26" s="79"/>
      <c r="AM26" s="54"/>
      <c r="AN26" s="56"/>
      <c r="AO26" s="79"/>
      <c r="AP26" s="79"/>
      <c r="AQ26" s="79"/>
      <c r="AR26" s="79"/>
      <c r="AS26" s="54"/>
    </row>
    <row r="27" spans="1:45" ht="21" x14ac:dyDescent="0.25">
      <c r="A27" s="29"/>
      <c r="B27" s="81" t="s">
        <v>9</v>
      </c>
      <c r="C27" s="81" t="s">
        <v>124</v>
      </c>
      <c r="D27" s="81"/>
      <c r="E27" s="81">
        <v>7</v>
      </c>
      <c r="F27" s="81" t="s">
        <v>40</v>
      </c>
      <c r="G27" s="81"/>
      <c r="H27" s="81"/>
      <c r="I27" s="81"/>
      <c r="J27" s="81"/>
      <c r="K27" s="81"/>
      <c r="L27" s="81"/>
      <c r="M27" s="81"/>
      <c r="N27" s="81"/>
      <c r="O27" s="40"/>
      <c r="P27" s="29"/>
      <c r="Q27" s="79"/>
      <c r="R27" s="79"/>
      <c r="S27" s="79"/>
      <c r="T27" s="79"/>
      <c r="U27" s="40"/>
      <c r="V27" s="29"/>
      <c r="W27" s="79"/>
      <c r="X27" s="79"/>
      <c r="Y27" s="79"/>
      <c r="Z27" s="79"/>
      <c r="AA27" s="40"/>
      <c r="AB27" s="56"/>
      <c r="AC27" s="79"/>
      <c r="AD27" s="79"/>
      <c r="AE27" s="79"/>
      <c r="AF27" s="79"/>
      <c r="AG27" s="54"/>
      <c r="AH27" s="56"/>
      <c r="AI27" s="79"/>
      <c r="AJ27" s="79"/>
      <c r="AK27" s="79"/>
      <c r="AL27" s="79"/>
      <c r="AM27" s="54"/>
      <c r="AN27" s="56"/>
      <c r="AO27" s="79"/>
      <c r="AP27" s="79"/>
      <c r="AQ27" s="79"/>
      <c r="AR27" s="79"/>
      <c r="AS27" s="54"/>
    </row>
    <row r="28" spans="1:45" ht="21" x14ac:dyDescent="0.25">
      <c r="A28" s="29"/>
      <c r="B28" s="12" t="s">
        <v>8</v>
      </c>
      <c r="C28" s="12" t="s">
        <v>125</v>
      </c>
      <c r="D28" s="12" t="s">
        <v>138</v>
      </c>
      <c r="E28" s="12">
        <v>16</v>
      </c>
      <c r="F28" s="12" t="s">
        <v>40</v>
      </c>
      <c r="G28" s="12">
        <v>8</v>
      </c>
      <c r="H28" s="12">
        <v>4</v>
      </c>
      <c r="I28" s="12">
        <v>4</v>
      </c>
      <c r="J28" s="12">
        <f t="shared" ref="J28:J45" si="4">G28/E28</f>
        <v>0.5</v>
      </c>
      <c r="K28" s="12" t="s">
        <v>137</v>
      </c>
      <c r="L28" s="12" t="s">
        <v>161</v>
      </c>
      <c r="M28" s="12" t="s">
        <v>169</v>
      </c>
      <c r="N28" s="12" t="s">
        <v>161</v>
      </c>
      <c r="O28" s="40" t="s">
        <v>41</v>
      </c>
      <c r="P28" s="29"/>
      <c r="Q28" s="12" t="s">
        <v>136</v>
      </c>
      <c r="R28" s="12" t="s">
        <v>177</v>
      </c>
      <c r="S28" s="12">
        <v>1</v>
      </c>
      <c r="T28" s="12" t="s">
        <v>140</v>
      </c>
      <c r="U28" s="40" t="s">
        <v>41</v>
      </c>
      <c r="V28" s="29"/>
      <c r="W28" s="79"/>
      <c r="X28" s="79"/>
      <c r="Y28" s="79"/>
      <c r="Z28" s="79"/>
      <c r="AA28" s="40"/>
      <c r="AB28" s="56"/>
      <c r="AC28" s="79"/>
      <c r="AD28" s="79"/>
      <c r="AE28" s="79"/>
      <c r="AF28" s="79"/>
      <c r="AG28" s="54"/>
      <c r="AH28" s="56"/>
      <c r="AI28" s="80"/>
      <c r="AJ28" s="80"/>
      <c r="AK28" s="80"/>
      <c r="AL28" s="80"/>
      <c r="AM28" s="54"/>
      <c r="AN28" s="56"/>
      <c r="AO28" s="80"/>
      <c r="AP28" s="80"/>
      <c r="AQ28" s="80"/>
      <c r="AR28" s="80"/>
      <c r="AS28" s="54"/>
    </row>
    <row r="29" spans="1:45" ht="21" x14ac:dyDescent="0.25">
      <c r="A29" s="29"/>
      <c r="B29" s="12" t="s">
        <v>9</v>
      </c>
      <c r="C29" s="12" t="s">
        <v>125</v>
      </c>
      <c r="D29" s="12" t="s">
        <v>138</v>
      </c>
      <c r="E29" s="12">
        <v>16</v>
      </c>
      <c r="F29" s="12" t="s">
        <v>40</v>
      </c>
      <c r="G29" s="12">
        <v>8</v>
      </c>
      <c r="H29" s="12">
        <v>4</v>
      </c>
      <c r="I29" s="12">
        <v>4</v>
      </c>
      <c r="J29" s="12">
        <f t="shared" si="4"/>
        <v>0.5</v>
      </c>
      <c r="K29" s="12" t="s">
        <v>137</v>
      </c>
      <c r="L29" s="12" t="s">
        <v>161</v>
      </c>
      <c r="M29" s="12" t="s">
        <v>169</v>
      </c>
      <c r="N29" s="12" t="s">
        <v>161</v>
      </c>
      <c r="O29" s="40" t="s">
        <v>41</v>
      </c>
      <c r="P29" s="29"/>
      <c r="Q29" s="12" t="s">
        <v>136</v>
      </c>
      <c r="R29" s="12" t="s">
        <v>177</v>
      </c>
      <c r="S29" s="12">
        <v>1</v>
      </c>
      <c r="T29" s="12" t="s">
        <v>140</v>
      </c>
      <c r="U29" s="40" t="s">
        <v>41</v>
      </c>
      <c r="V29" s="29"/>
      <c r="W29" s="79"/>
      <c r="X29" s="79"/>
      <c r="Y29" s="79"/>
      <c r="Z29" s="79"/>
      <c r="AA29" s="40"/>
      <c r="AB29" s="56"/>
      <c r="AC29" s="79"/>
      <c r="AD29" s="79"/>
      <c r="AE29" s="79"/>
      <c r="AF29" s="79"/>
      <c r="AG29" s="54"/>
      <c r="AH29" s="56"/>
      <c r="AI29" s="80"/>
      <c r="AJ29" s="80"/>
      <c r="AK29" s="80"/>
      <c r="AL29" s="80"/>
      <c r="AM29" s="54"/>
      <c r="AN29" s="56"/>
      <c r="AO29" s="80"/>
      <c r="AP29" s="80"/>
      <c r="AQ29" s="80"/>
      <c r="AR29" s="80"/>
      <c r="AS29" s="54"/>
    </row>
    <row r="30" spans="1:45" ht="21" x14ac:dyDescent="0.25">
      <c r="A30" s="29"/>
      <c r="B30" s="12" t="s">
        <v>8</v>
      </c>
      <c r="C30" s="12" t="s">
        <v>126</v>
      </c>
      <c r="D30" s="12" t="s">
        <v>138</v>
      </c>
      <c r="E30" s="12">
        <v>83</v>
      </c>
      <c r="F30" s="12" t="s">
        <v>40</v>
      </c>
      <c r="G30" s="12">
        <v>3</v>
      </c>
      <c r="H30" s="12" t="s">
        <v>139</v>
      </c>
      <c r="I30" s="12" t="s">
        <v>139</v>
      </c>
      <c r="J30" s="12">
        <f t="shared" si="4"/>
        <v>3.614457831325301E-2</v>
      </c>
      <c r="K30" s="12" t="s">
        <v>137</v>
      </c>
      <c r="L30" s="12" t="s">
        <v>161</v>
      </c>
      <c r="M30" s="12" t="s">
        <v>137</v>
      </c>
      <c r="N30" s="12" t="s">
        <v>140</v>
      </c>
      <c r="O30" s="40" t="s">
        <v>41</v>
      </c>
      <c r="P30" s="29"/>
      <c r="Q30" s="12" t="s">
        <v>136</v>
      </c>
      <c r="R30" s="12" t="s">
        <v>136</v>
      </c>
      <c r="S30" s="12">
        <v>2</v>
      </c>
      <c r="T30" s="12" t="s">
        <v>158</v>
      </c>
      <c r="U30" s="40" t="s">
        <v>40</v>
      </c>
      <c r="V30" s="29"/>
      <c r="W30" s="79"/>
      <c r="X30" s="79"/>
      <c r="Y30" s="79"/>
      <c r="Z30" s="79"/>
      <c r="AA30" s="40"/>
      <c r="AB30" s="56"/>
      <c r="AC30" s="79"/>
      <c r="AD30" s="79"/>
      <c r="AE30" s="79"/>
      <c r="AF30" s="79"/>
      <c r="AG30" s="54"/>
      <c r="AH30" s="56"/>
      <c r="AI30" s="80"/>
      <c r="AJ30" s="80"/>
      <c r="AK30" s="80"/>
      <c r="AL30" s="80"/>
      <c r="AM30" s="54"/>
      <c r="AN30" s="56"/>
      <c r="AO30" s="80"/>
      <c r="AP30" s="80"/>
      <c r="AQ30" s="80"/>
      <c r="AR30" s="80"/>
      <c r="AS30" s="54"/>
    </row>
    <row r="31" spans="1:45" ht="21" x14ac:dyDescent="0.25">
      <c r="A31" s="29"/>
      <c r="B31" s="12" t="s">
        <v>9</v>
      </c>
      <c r="C31" s="12" t="s">
        <v>126</v>
      </c>
      <c r="D31" s="12" t="s">
        <v>138</v>
      </c>
      <c r="E31" s="12">
        <v>83</v>
      </c>
      <c r="F31" s="12" t="s">
        <v>40</v>
      </c>
      <c r="G31" s="12">
        <v>3</v>
      </c>
      <c r="H31" s="12" t="s">
        <v>139</v>
      </c>
      <c r="I31" s="12" t="s">
        <v>139</v>
      </c>
      <c r="J31" s="12">
        <f t="shared" si="4"/>
        <v>3.614457831325301E-2</v>
      </c>
      <c r="K31" s="12" t="s">
        <v>137</v>
      </c>
      <c r="L31" s="12" t="s">
        <v>161</v>
      </c>
      <c r="M31" s="12" t="s">
        <v>137</v>
      </c>
      <c r="N31" s="12" t="s">
        <v>140</v>
      </c>
      <c r="O31" s="40" t="s">
        <v>41</v>
      </c>
      <c r="P31" s="29"/>
      <c r="Q31" s="12" t="s">
        <v>136</v>
      </c>
      <c r="R31" s="12" t="s">
        <v>136</v>
      </c>
      <c r="S31" s="12">
        <v>2</v>
      </c>
      <c r="T31" s="12" t="s">
        <v>158</v>
      </c>
      <c r="U31" s="40" t="s">
        <v>40</v>
      </c>
      <c r="V31" s="29"/>
      <c r="W31" s="79"/>
      <c r="X31" s="79"/>
      <c r="Y31" s="79"/>
      <c r="Z31" s="79"/>
      <c r="AA31" s="40"/>
      <c r="AB31" s="56"/>
      <c r="AC31" s="79"/>
      <c r="AD31" s="79"/>
      <c r="AE31" s="79"/>
      <c r="AF31" s="79"/>
      <c r="AG31" s="54"/>
      <c r="AH31" s="56"/>
      <c r="AI31" s="80"/>
      <c r="AJ31" s="80"/>
      <c r="AK31" s="80"/>
      <c r="AL31" s="80"/>
      <c r="AM31" s="54"/>
      <c r="AN31" s="56"/>
      <c r="AO31" s="80"/>
      <c r="AP31" s="80"/>
      <c r="AQ31" s="80"/>
      <c r="AR31" s="80"/>
      <c r="AS31" s="54"/>
    </row>
    <row r="32" spans="1:45" ht="21" x14ac:dyDescent="0.25">
      <c r="A32" s="29"/>
      <c r="B32" s="12" t="s">
        <v>8</v>
      </c>
      <c r="C32" s="12" t="s">
        <v>127</v>
      </c>
      <c r="D32" s="12" t="s">
        <v>138</v>
      </c>
      <c r="E32" s="12">
        <v>11</v>
      </c>
      <c r="F32" s="12" t="s">
        <v>40</v>
      </c>
      <c r="G32" s="12">
        <v>4</v>
      </c>
      <c r="H32" s="12">
        <v>5</v>
      </c>
      <c r="I32" s="12">
        <v>2</v>
      </c>
      <c r="J32" s="12">
        <f t="shared" si="4"/>
        <v>0.36363636363636365</v>
      </c>
      <c r="K32" s="12" t="s">
        <v>136</v>
      </c>
      <c r="L32" s="12" t="s">
        <v>158</v>
      </c>
      <c r="M32" s="12" t="s">
        <v>136</v>
      </c>
      <c r="N32" s="12" t="s">
        <v>161</v>
      </c>
      <c r="O32" s="40" t="s">
        <v>40</v>
      </c>
      <c r="P32" s="29"/>
      <c r="Q32" s="12" t="s">
        <v>136</v>
      </c>
      <c r="R32" s="12" t="s">
        <v>178</v>
      </c>
      <c r="S32" s="12">
        <v>1</v>
      </c>
      <c r="T32" s="12" t="s">
        <v>140</v>
      </c>
      <c r="U32" s="40" t="s">
        <v>40</v>
      </c>
      <c r="V32" s="29"/>
      <c r="W32" s="79"/>
      <c r="X32" s="79"/>
      <c r="Y32" s="79"/>
      <c r="Z32" s="79"/>
      <c r="AA32" s="40"/>
      <c r="AB32" s="56"/>
      <c r="AC32" s="79"/>
      <c r="AD32" s="79"/>
      <c r="AE32" s="79"/>
      <c r="AF32" s="79"/>
      <c r="AG32" s="54"/>
      <c r="AH32" s="56"/>
      <c r="AI32" s="80"/>
      <c r="AJ32" s="80"/>
      <c r="AK32" s="80"/>
      <c r="AL32" s="80"/>
      <c r="AM32" s="54"/>
      <c r="AN32" s="56"/>
      <c r="AO32" s="80"/>
      <c r="AP32" s="80"/>
      <c r="AQ32" s="80"/>
      <c r="AR32" s="80"/>
      <c r="AS32" s="54"/>
    </row>
    <row r="33" spans="1:45" ht="21" x14ac:dyDescent="0.25">
      <c r="A33" s="29"/>
      <c r="B33" s="12" t="s">
        <v>9</v>
      </c>
      <c r="C33" s="12" t="s">
        <v>127</v>
      </c>
      <c r="D33" s="12" t="s">
        <v>138</v>
      </c>
      <c r="E33" s="12">
        <v>11</v>
      </c>
      <c r="F33" s="12" t="s">
        <v>40</v>
      </c>
      <c r="G33" s="12">
        <v>4</v>
      </c>
      <c r="H33" s="12">
        <v>5</v>
      </c>
      <c r="I33" s="12">
        <v>2</v>
      </c>
      <c r="J33" s="12">
        <f t="shared" si="4"/>
        <v>0.36363636363636365</v>
      </c>
      <c r="K33" s="12" t="s">
        <v>136</v>
      </c>
      <c r="L33" s="12" t="s">
        <v>158</v>
      </c>
      <c r="M33" s="12" t="s">
        <v>136</v>
      </c>
      <c r="N33" s="12" t="s">
        <v>161</v>
      </c>
      <c r="O33" s="40" t="s">
        <v>40</v>
      </c>
      <c r="P33" s="29"/>
      <c r="Q33" s="12" t="s">
        <v>136</v>
      </c>
      <c r="R33" s="12" t="s">
        <v>178</v>
      </c>
      <c r="S33" s="12">
        <v>1</v>
      </c>
      <c r="T33" s="12" t="s">
        <v>140</v>
      </c>
      <c r="U33" s="40" t="s">
        <v>40</v>
      </c>
      <c r="V33" s="29"/>
      <c r="W33" s="79"/>
      <c r="X33" s="79"/>
      <c r="Y33" s="79"/>
      <c r="Z33" s="79"/>
      <c r="AA33" s="40"/>
      <c r="AB33" s="56"/>
      <c r="AC33" s="79"/>
      <c r="AD33" s="79"/>
      <c r="AE33" s="79"/>
      <c r="AF33" s="79"/>
      <c r="AG33" s="54"/>
      <c r="AH33" s="56"/>
      <c r="AI33" s="80"/>
      <c r="AJ33" s="80"/>
      <c r="AK33" s="80"/>
      <c r="AL33" s="80"/>
      <c r="AM33" s="54"/>
      <c r="AN33" s="56"/>
      <c r="AO33" s="80"/>
      <c r="AP33" s="80"/>
      <c r="AQ33" s="80"/>
      <c r="AR33" s="80"/>
      <c r="AS33" s="54"/>
    </row>
    <row r="34" spans="1:45" ht="21" x14ac:dyDescent="0.25">
      <c r="A34" s="29"/>
      <c r="B34" s="12" t="s">
        <v>8</v>
      </c>
      <c r="C34" s="12" t="s">
        <v>128</v>
      </c>
      <c r="D34" s="12" t="s">
        <v>138</v>
      </c>
      <c r="E34" s="12">
        <v>11</v>
      </c>
      <c r="F34" s="12" t="s">
        <v>40</v>
      </c>
      <c r="G34" s="12">
        <v>1</v>
      </c>
      <c r="H34" s="12">
        <v>4</v>
      </c>
      <c r="I34" s="12">
        <v>6</v>
      </c>
      <c r="J34" s="12">
        <f t="shared" si="4"/>
        <v>9.0909090909090912E-2</v>
      </c>
      <c r="K34" s="12" t="s">
        <v>137</v>
      </c>
      <c r="L34" s="12" t="s">
        <v>161</v>
      </c>
      <c r="M34" s="12" t="s">
        <v>137</v>
      </c>
      <c r="N34" s="12" t="s">
        <v>140</v>
      </c>
      <c r="O34" s="40" t="s">
        <v>41</v>
      </c>
      <c r="P34" s="29"/>
      <c r="Q34" s="79"/>
      <c r="R34" s="79"/>
      <c r="S34" s="79"/>
      <c r="T34" s="79"/>
      <c r="U34" s="40"/>
      <c r="V34" s="29"/>
      <c r="W34" s="12" t="s">
        <v>136</v>
      </c>
      <c r="X34" s="12" t="s">
        <v>179</v>
      </c>
      <c r="Y34" s="12">
        <v>1</v>
      </c>
      <c r="Z34" s="12" t="s">
        <v>140</v>
      </c>
      <c r="AA34" s="40" t="s">
        <v>41</v>
      </c>
      <c r="AB34" s="56"/>
      <c r="AC34" s="79"/>
      <c r="AD34" s="79"/>
      <c r="AE34" s="79"/>
      <c r="AF34" s="79"/>
      <c r="AG34" s="54"/>
      <c r="AH34" s="56"/>
      <c r="AI34" s="80"/>
      <c r="AJ34" s="80"/>
      <c r="AK34" s="80"/>
      <c r="AL34" s="80"/>
      <c r="AM34" s="54"/>
      <c r="AN34" s="56"/>
      <c r="AO34" s="80"/>
      <c r="AP34" s="80"/>
      <c r="AQ34" s="80"/>
      <c r="AR34" s="80"/>
      <c r="AS34" s="54"/>
    </row>
    <row r="35" spans="1:45" ht="21" x14ac:dyDescent="0.25">
      <c r="A35" s="29"/>
      <c r="B35" s="12" t="s">
        <v>9</v>
      </c>
      <c r="C35" s="12" t="s">
        <v>128</v>
      </c>
      <c r="D35" s="12" t="s">
        <v>138</v>
      </c>
      <c r="E35" s="12">
        <v>11</v>
      </c>
      <c r="F35" s="12" t="s">
        <v>40</v>
      </c>
      <c r="G35" s="12">
        <v>1</v>
      </c>
      <c r="H35" s="12">
        <v>4</v>
      </c>
      <c r="I35" s="12">
        <v>6</v>
      </c>
      <c r="J35" s="12">
        <f t="shared" si="4"/>
        <v>9.0909090909090912E-2</v>
      </c>
      <c r="K35" s="12" t="s">
        <v>137</v>
      </c>
      <c r="L35" s="12" t="s">
        <v>161</v>
      </c>
      <c r="M35" s="12" t="s">
        <v>137</v>
      </c>
      <c r="N35" s="12" t="s">
        <v>140</v>
      </c>
      <c r="O35" s="40" t="s">
        <v>41</v>
      </c>
      <c r="P35" s="29"/>
      <c r="Q35" s="79"/>
      <c r="R35" s="79"/>
      <c r="S35" s="79"/>
      <c r="T35" s="79"/>
      <c r="U35" s="40"/>
      <c r="V35" s="29"/>
      <c r="W35" s="12" t="s">
        <v>136</v>
      </c>
      <c r="X35" s="12" t="s">
        <v>179</v>
      </c>
      <c r="Y35" s="12">
        <v>1</v>
      </c>
      <c r="Z35" s="12" t="s">
        <v>140</v>
      </c>
      <c r="AA35" s="40" t="s">
        <v>41</v>
      </c>
      <c r="AB35" s="56"/>
      <c r="AC35" s="79"/>
      <c r="AD35" s="79"/>
      <c r="AE35" s="79"/>
      <c r="AF35" s="79"/>
      <c r="AG35" s="54"/>
      <c r="AH35" s="56"/>
      <c r="AI35" s="80"/>
      <c r="AJ35" s="80"/>
      <c r="AK35" s="80"/>
      <c r="AL35" s="80"/>
      <c r="AM35" s="54"/>
      <c r="AN35" s="56"/>
      <c r="AO35" s="80"/>
      <c r="AP35" s="80"/>
      <c r="AQ35" s="80"/>
      <c r="AR35" s="80"/>
      <c r="AS35" s="54"/>
    </row>
    <row r="36" spans="1:45" ht="21" x14ac:dyDescent="0.25">
      <c r="A36" s="29"/>
      <c r="B36" s="12" t="s">
        <v>8</v>
      </c>
      <c r="C36" s="12" t="s">
        <v>129</v>
      </c>
      <c r="D36" s="12" t="s">
        <v>138</v>
      </c>
      <c r="E36" s="12">
        <v>20</v>
      </c>
      <c r="F36" s="12" t="s">
        <v>40</v>
      </c>
      <c r="G36" s="12">
        <v>16</v>
      </c>
      <c r="H36" s="12">
        <v>4</v>
      </c>
      <c r="I36" s="12">
        <v>0</v>
      </c>
      <c r="J36" s="12">
        <f t="shared" si="4"/>
        <v>0.8</v>
      </c>
      <c r="K36" s="12" t="s">
        <v>136</v>
      </c>
      <c r="L36" s="12" t="s">
        <v>158</v>
      </c>
      <c r="M36" s="12" t="s">
        <v>169</v>
      </c>
      <c r="N36" s="12" t="s">
        <v>161</v>
      </c>
      <c r="O36" s="40" t="s">
        <v>40</v>
      </c>
      <c r="P36" s="29"/>
      <c r="Q36" s="12" t="s">
        <v>136</v>
      </c>
      <c r="R36" s="12" t="s">
        <v>172</v>
      </c>
      <c r="S36" s="12">
        <v>1</v>
      </c>
      <c r="T36" s="12" t="s">
        <v>140</v>
      </c>
      <c r="U36" s="40" t="s">
        <v>40</v>
      </c>
      <c r="V36" s="29"/>
      <c r="W36" s="79"/>
      <c r="X36" s="79"/>
      <c r="Y36" s="79"/>
      <c r="Z36" s="79"/>
      <c r="AA36" s="40"/>
      <c r="AB36" s="56"/>
      <c r="AC36" s="79"/>
      <c r="AD36" s="79"/>
      <c r="AE36" s="79"/>
      <c r="AF36" s="79"/>
      <c r="AG36" s="54"/>
      <c r="AH36" s="56"/>
      <c r="AI36" s="80"/>
      <c r="AJ36" s="80"/>
      <c r="AK36" s="80"/>
      <c r="AL36" s="80"/>
      <c r="AM36" s="54"/>
      <c r="AN36" s="56"/>
      <c r="AO36" s="80"/>
      <c r="AP36" s="80"/>
      <c r="AQ36" s="80"/>
      <c r="AR36" s="80"/>
      <c r="AS36" s="54"/>
    </row>
    <row r="37" spans="1:45" ht="21" x14ac:dyDescent="0.25">
      <c r="A37" s="29"/>
      <c r="B37" s="12" t="s">
        <v>9</v>
      </c>
      <c r="C37" s="12" t="s">
        <v>129</v>
      </c>
      <c r="D37" s="12" t="s">
        <v>138</v>
      </c>
      <c r="E37" s="12">
        <v>20</v>
      </c>
      <c r="F37" s="12" t="s">
        <v>40</v>
      </c>
      <c r="G37" s="12">
        <v>16</v>
      </c>
      <c r="H37" s="12">
        <v>4</v>
      </c>
      <c r="I37" s="12">
        <v>0</v>
      </c>
      <c r="J37" s="12">
        <f t="shared" si="4"/>
        <v>0.8</v>
      </c>
      <c r="K37" s="12" t="s">
        <v>136</v>
      </c>
      <c r="L37" s="12" t="s">
        <v>158</v>
      </c>
      <c r="M37" s="12" t="s">
        <v>169</v>
      </c>
      <c r="N37" s="12" t="s">
        <v>161</v>
      </c>
      <c r="O37" s="40" t="s">
        <v>40</v>
      </c>
      <c r="P37" s="29"/>
      <c r="Q37" s="12" t="s">
        <v>136</v>
      </c>
      <c r="R37" s="12" t="s">
        <v>172</v>
      </c>
      <c r="S37" s="12">
        <v>1</v>
      </c>
      <c r="T37" s="12" t="s">
        <v>140</v>
      </c>
      <c r="U37" s="40" t="s">
        <v>40</v>
      </c>
      <c r="V37" s="29"/>
      <c r="W37" s="79"/>
      <c r="X37" s="79"/>
      <c r="Y37" s="79"/>
      <c r="Z37" s="79"/>
      <c r="AA37" s="40"/>
      <c r="AB37" s="56"/>
      <c r="AC37" s="79"/>
      <c r="AD37" s="79"/>
      <c r="AE37" s="79"/>
      <c r="AF37" s="79"/>
      <c r="AG37" s="54"/>
      <c r="AH37" s="56"/>
      <c r="AI37" s="80"/>
      <c r="AJ37" s="80"/>
      <c r="AK37" s="80"/>
      <c r="AL37" s="80"/>
      <c r="AM37" s="54"/>
      <c r="AN37" s="56"/>
      <c r="AO37" s="80"/>
      <c r="AP37" s="80"/>
      <c r="AQ37" s="80"/>
      <c r="AR37" s="80"/>
      <c r="AS37" s="54"/>
    </row>
    <row r="38" spans="1:45" ht="21" x14ac:dyDescent="0.25">
      <c r="A38" s="29"/>
      <c r="B38" s="12" t="s">
        <v>8</v>
      </c>
      <c r="C38" s="12" t="s">
        <v>130</v>
      </c>
      <c r="D38" s="12" t="s">
        <v>138</v>
      </c>
      <c r="E38" s="12">
        <v>32</v>
      </c>
      <c r="F38" s="12" t="s">
        <v>40</v>
      </c>
      <c r="G38" s="12">
        <v>13</v>
      </c>
      <c r="H38" s="12">
        <v>15</v>
      </c>
      <c r="I38" s="12">
        <v>4</v>
      </c>
      <c r="J38" s="12">
        <f t="shared" si="4"/>
        <v>0.40625</v>
      </c>
      <c r="K38" s="12" t="s">
        <v>137</v>
      </c>
      <c r="L38" s="12" t="s">
        <v>161</v>
      </c>
      <c r="M38" s="12" t="s">
        <v>136</v>
      </c>
      <c r="N38" s="12" t="s">
        <v>161</v>
      </c>
      <c r="O38" s="40" t="s">
        <v>41</v>
      </c>
      <c r="P38" s="29"/>
      <c r="Q38" s="12" t="s">
        <v>136</v>
      </c>
      <c r="R38" s="12" t="s">
        <v>180</v>
      </c>
      <c r="S38" s="12">
        <v>1</v>
      </c>
      <c r="T38" s="12" t="s">
        <v>140</v>
      </c>
      <c r="U38" s="40" t="s">
        <v>41</v>
      </c>
      <c r="V38" s="29"/>
      <c r="W38" s="79"/>
      <c r="X38" s="79"/>
      <c r="Y38" s="79"/>
      <c r="Z38" s="79"/>
      <c r="AA38" s="40"/>
      <c r="AB38" s="56"/>
      <c r="AC38" s="79"/>
      <c r="AD38" s="79"/>
      <c r="AE38" s="79"/>
      <c r="AF38" s="79"/>
      <c r="AG38" s="54"/>
      <c r="AH38" s="56"/>
      <c r="AI38" s="80"/>
      <c r="AJ38" s="80"/>
      <c r="AK38" s="80"/>
      <c r="AL38" s="80"/>
      <c r="AM38" s="54"/>
      <c r="AN38" s="56"/>
      <c r="AO38" s="80"/>
      <c r="AP38" s="80"/>
      <c r="AQ38" s="80"/>
      <c r="AR38" s="80"/>
      <c r="AS38" s="54"/>
    </row>
    <row r="39" spans="1:45" ht="21" x14ac:dyDescent="0.25">
      <c r="A39" s="29"/>
      <c r="B39" s="12" t="s">
        <v>9</v>
      </c>
      <c r="C39" s="12" t="s">
        <v>130</v>
      </c>
      <c r="D39" s="12" t="s">
        <v>138</v>
      </c>
      <c r="E39" s="12">
        <v>32</v>
      </c>
      <c r="F39" s="12" t="s">
        <v>40</v>
      </c>
      <c r="G39" s="12">
        <v>13</v>
      </c>
      <c r="H39" s="12">
        <v>15</v>
      </c>
      <c r="I39" s="12">
        <v>4</v>
      </c>
      <c r="J39" s="12">
        <f t="shared" si="4"/>
        <v>0.40625</v>
      </c>
      <c r="K39" s="12" t="s">
        <v>137</v>
      </c>
      <c r="L39" s="12" t="s">
        <v>161</v>
      </c>
      <c r="M39" s="12" t="s">
        <v>136</v>
      </c>
      <c r="N39" s="12" t="s">
        <v>161</v>
      </c>
      <c r="O39" s="40" t="s">
        <v>41</v>
      </c>
      <c r="P39" s="29"/>
      <c r="Q39" s="12" t="s">
        <v>136</v>
      </c>
      <c r="R39" s="12" t="s">
        <v>180</v>
      </c>
      <c r="S39" s="12">
        <v>1</v>
      </c>
      <c r="T39" s="12" t="s">
        <v>140</v>
      </c>
      <c r="U39" s="40" t="s">
        <v>41</v>
      </c>
      <c r="V39" s="29"/>
      <c r="W39" s="79"/>
      <c r="X39" s="79"/>
      <c r="Y39" s="79"/>
      <c r="Z39" s="79"/>
      <c r="AA39" s="40"/>
      <c r="AB39" s="56"/>
      <c r="AC39" s="79"/>
      <c r="AD39" s="79"/>
      <c r="AE39" s="79"/>
      <c r="AF39" s="79"/>
      <c r="AG39" s="54"/>
      <c r="AH39" s="56"/>
      <c r="AI39" s="80"/>
      <c r="AJ39" s="80"/>
      <c r="AK39" s="80"/>
      <c r="AL39" s="80"/>
      <c r="AM39" s="54"/>
      <c r="AN39" s="56"/>
      <c r="AO39" s="80"/>
      <c r="AP39" s="80"/>
      <c r="AQ39" s="80"/>
      <c r="AR39" s="80"/>
      <c r="AS39" s="54"/>
    </row>
    <row r="40" spans="1:45" ht="21" x14ac:dyDescent="0.25">
      <c r="A40" s="29"/>
      <c r="B40" s="12" t="s">
        <v>8</v>
      </c>
      <c r="C40" s="12" t="s">
        <v>131</v>
      </c>
      <c r="D40" s="12" t="s">
        <v>138</v>
      </c>
      <c r="E40" s="12">
        <v>12</v>
      </c>
      <c r="F40" s="12" t="s">
        <v>40</v>
      </c>
      <c r="G40" s="12">
        <v>10</v>
      </c>
      <c r="H40" s="12">
        <v>2</v>
      </c>
      <c r="I40" s="12">
        <v>0</v>
      </c>
      <c r="J40" s="12">
        <f t="shared" si="4"/>
        <v>0.83333333333333337</v>
      </c>
      <c r="K40" s="12" t="s">
        <v>136</v>
      </c>
      <c r="L40" s="12" t="s">
        <v>158</v>
      </c>
      <c r="M40" s="12" t="s">
        <v>136</v>
      </c>
      <c r="N40" s="12" t="s">
        <v>161</v>
      </c>
      <c r="O40" s="40" t="s">
        <v>40</v>
      </c>
      <c r="P40" s="29"/>
      <c r="Q40" s="79"/>
      <c r="R40" s="79"/>
      <c r="S40" s="79"/>
      <c r="T40" s="79"/>
      <c r="U40" s="40"/>
      <c r="V40" s="29"/>
      <c r="W40" s="12" t="s">
        <v>136</v>
      </c>
      <c r="X40" s="12" t="s">
        <v>171</v>
      </c>
      <c r="Y40" s="12">
        <v>1</v>
      </c>
      <c r="Z40" s="12" t="s">
        <v>140</v>
      </c>
      <c r="AA40" s="40" t="s">
        <v>40</v>
      </c>
      <c r="AB40" s="56"/>
      <c r="AC40" s="79"/>
      <c r="AD40" s="79"/>
      <c r="AE40" s="79"/>
      <c r="AF40" s="79"/>
      <c r="AG40" s="54"/>
      <c r="AH40" s="56"/>
      <c r="AI40" s="80"/>
      <c r="AJ40" s="80"/>
      <c r="AK40" s="80"/>
      <c r="AL40" s="80"/>
      <c r="AM40" s="54"/>
      <c r="AN40" s="56"/>
      <c r="AO40" s="80"/>
      <c r="AP40" s="80"/>
      <c r="AQ40" s="80"/>
      <c r="AR40" s="80"/>
      <c r="AS40" s="54"/>
    </row>
    <row r="41" spans="1:45" ht="21" x14ac:dyDescent="0.25">
      <c r="A41" s="29"/>
      <c r="B41" s="12" t="s">
        <v>8</v>
      </c>
      <c r="C41" s="12" t="s">
        <v>131</v>
      </c>
      <c r="D41" s="12" t="s">
        <v>138</v>
      </c>
      <c r="E41" s="12">
        <v>12</v>
      </c>
      <c r="F41" s="12" t="s">
        <v>40</v>
      </c>
      <c r="G41" s="12">
        <v>10</v>
      </c>
      <c r="H41" s="12">
        <v>2</v>
      </c>
      <c r="I41" s="12">
        <v>0</v>
      </c>
      <c r="J41" s="12">
        <f t="shared" si="4"/>
        <v>0.83333333333333337</v>
      </c>
      <c r="K41" s="12" t="s">
        <v>136</v>
      </c>
      <c r="L41" s="12" t="s">
        <v>158</v>
      </c>
      <c r="M41" s="12" t="s">
        <v>136</v>
      </c>
      <c r="N41" s="12" t="s">
        <v>161</v>
      </c>
      <c r="O41" s="40" t="s">
        <v>40</v>
      </c>
      <c r="P41" s="29"/>
      <c r="Q41" s="79"/>
      <c r="R41" s="79"/>
      <c r="S41" s="79"/>
      <c r="T41" s="79"/>
      <c r="U41" s="40"/>
      <c r="V41" s="29"/>
      <c r="W41" s="12" t="s">
        <v>136</v>
      </c>
      <c r="X41" s="12" t="s">
        <v>171</v>
      </c>
      <c r="Y41" s="12">
        <v>1</v>
      </c>
      <c r="Z41" s="12" t="s">
        <v>140</v>
      </c>
      <c r="AA41" s="40" t="s">
        <v>40</v>
      </c>
      <c r="AB41" s="56"/>
      <c r="AC41" s="79"/>
      <c r="AD41" s="79"/>
      <c r="AE41" s="79"/>
      <c r="AF41" s="79"/>
      <c r="AG41" s="54"/>
      <c r="AH41" s="56"/>
      <c r="AI41" s="80"/>
      <c r="AJ41" s="80"/>
      <c r="AK41" s="80"/>
      <c r="AL41" s="80"/>
      <c r="AM41" s="54"/>
      <c r="AN41" s="56"/>
      <c r="AO41" s="80"/>
      <c r="AP41" s="80"/>
      <c r="AQ41" s="80"/>
      <c r="AR41" s="80"/>
      <c r="AS41" s="54"/>
    </row>
    <row r="42" spans="1:45" ht="21" x14ac:dyDescent="0.25">
      <c r="A42" s="29"/>
      <c r="B42" s="12" t="s">
        <v>8</v>
      </c>
      <c r="C42" s="12" t="s">
        <v>132</v>
      </c>
      <c r="D42" s="12" t="s">
        <v>138</v>
      </c>
      <c r="E42" s="12">
        <v>9</v>
      </c>
      <c r="F42" s="12" t="s">
        <v>40</v>
      </c>
      <c r="G42" s="12">
        <v>8</v>
      </c>
      <c r="H42" s="12">
        <v>1</v>
      </c>
      <c r="I42" s="12">
        <v>0</v>
      </c>
      <c r="J42" s="12">
        <f t="shared" si="4"/>
        <v>0.88888888888888884</v>
      </c>
      <c r="K42" s="12" t="s">
        <v>136</v>
      </c>
      <c r="L42" s="12" t="s">
        <v>158</v>
      </c>
      <c r="M42" s="12" t="s">
        <v>136</v>
      </c>
      <c r="N42" s="12" t="s">
        <v>161</v>
      </c>
      <c r="O42" s="40" t="s">
        <v>40</v>
      </c>
      <c r="P42" s="29"/>
      <c r="Q42" s="79"/>
      <c r="R42" s="79"/>
      <c r="S42" s="79"/>
      <c r="T42" s="79"/>
      <c r="U42" s="40"/>
      <c r="V42" s="29"/>
      <c r="W42" s="79"/>
      <c r="X42" s="79"/>
      <c r="Y42" s="79"/>
      <c r="Z42" s="79"/>
      <c r="AA42" s="40"/>
      <c r="AB42" s="56"/>
      <c r="AC42" s="79"/>
      <c r="AD42" s="79"/>
      <c r="AE42" s="79"/>
      <c r="AF42" s="79"/>
      <c r="AG42" s="54"/>
      <c r="AH42" s="56"/>
      <c r="AI42" s="80"/>
      <c r="AJ42" s="80"/>
      <c r="AK42" s="80"/>
      <c r="AL42" s="80"/>
      <c r="AM42" s="54"/>
      <c r="AN42" s="56"/>
      <c r="AO42" s="80"/>
      <c r="AP42" s="80"/>
      <c r="AQ42" s="80"/>
      <c r="AR42" s="80"/>
      <c r="AS42" s="54"/>
    </row>
    <row r="43" spans="1:45" ht="21" x14ac:dyDescent="0.25">
      <c r="A43" s="29"/>
      <c r="B43" s="12" t="s">
        <v>9</v>
      </c>
      <c r="C43" s="12" t="s">
        <v>132</v>
      </c>
      <c r="D43" s="12" t="s">
        <v>138</v>
      </c>
      <c r="E43" s="12">
        <v>9</v>
      </c>
      <c r="F43" s="12" t="s">
        <v>40</v>
      </c>
      <c r="G43" s="12">
        <v>8</v>
      </c>
      <c r="H43" s="12">
        <v>1</v>
      </c>
      <c r="I43" s="12">
        <v>0</v>
      </c>
      <c r="J43" s="12">
        <f t="shared" si="4"/>
        <v>0.88888888888888884</v>
      </c>
      <c r="K43" s="12" t="s">
        <v>136</v>
      </c>
      <c r="L43" s="12" t="s">
        <v>158</v>
      </c>
      <c r="M43" s="12" t="s">
        <v>136</v>
      </c>
      <c r="N43" s="12" t="s">
        <v>161</v>
      </c>
      <c r="O43" s="40" t="s">
        <v>40</v>
      </c>
      <c r="P43" s="29"/>
      <c r="Q43" s="79"/>
      <c r="R43" s="79"/>
      <c r="S43" s="79"/>
      <c r="T43" s="79"/>
      <c r="U43" s="40"/>
      <c r="V43" s="29"/>
      <c r="W43" s="79"/>
      <c r="X43" s="79"/>
      <c r="Y43" s="79"/>
      <c r="Z43" s="79"/>
      <c r="AA43" s="40"/>
      <c r="AB43" s="56"/>
      <c r="AC43" s="79"/>
      <c r="AD43" s="79"/>
      <c r="AE43" s="79"/>
      <c r="AF43" s="79"/>
      <c r="AG43" s="54"/>
      <c r="AH43" s="56"/>
      <c r="AI43" s="80"/>
      <c r="AJ43" s="80"/>
      <c r="AK43" s="80"/>
      <c r="AL43" s="80"/>
      <c r="AM43" s="54"/>
      <c r="AN43" s="56"/>
      <c r="AO43" s="80"/>
      <c r="AP43" s="80"/>
      <c r="AQ43" s="80"/>
      <c r="AR43" s="80"/>
      <c r="AS43" s="54"/>
    </row>
    <row r="44" spans="1:45" ht="21" x14ac:dyDescent="0.25">
      <c r="A44" s="29"/>
      <c r="B44" s="12" t="s">
        <v>8</v>
      </c>
      <c r="C44" s="12" t="s">
        <v>133</v>
      </c>
      <c r="D44" s="12" t="s">
        <v>138</v>
      </c>
      <c r="E44" s="12">
        <v>39</v>
      </c>
      <c r="F44" s="12" t="s">
        <v>40</v>
      </c>
      <c r="G44" s="12">
        <v>28</v>
      </c>
      <c r="H44" s="12">
        <v>11</v>
      </c>
      <c r="I44" s="12">
        <v>0</v>
      </c>
      <c r="J44" s="12">
        <f t="shared" si="4"/>
        <v>0.71794871794871795</v>
      </c>
      <c r="K44" s="12" t="s">
        <v>136</v>
      </c>
      <c r="L44" s="12" t="s">
        <v>158</v>
      </c>
      <c r="M44" s="12" t="s">
        <v>137</v>
      </c>
      <c r="N44" s="12" t="s">
        <v>140</v>
      </c>
      <c r="O44" s="40" t="s">
        <v>39</v>
      </c>
      <c r="P44" s="29"/>
      <c r="Q44" s="12" t="s">
        <v>136</v>
      </c>
      <c r="R44" s="12" t="s">
        <v>136</v>
      </c>
      <c r="S44" s="12">
        <v>2</v>
      </c>
      <c r="T44" s="12" t="s">
        <v>158</v>
      </c>
      <c r="U44" s="40" t="s">
        <v>38</v>
      </c>
      <c r="V44" s="29"/>
      <c r="W44" s="12" t="s">
        <v>136</v>
      </c>
      <c r="X44" s="12" t="s">
        <v>136</v>
      </c>
      <c r="Y44" s="12">
        <v>2</v>
      </c>
      <c r="Z44" s="12" t="s">
        <v>158</v>
      </c>
      <c r="AA44" s="40" t="s">
        <v>38</v>
      </c>
      <c r="AB44" s="56"/>
      <c r="AC44" s="12" t="s">
        <v>136</v>
      </c>
      <c r="AD44" s="12" t="s">
        <v>136</v>
      </c>
      <c r="AE44" s="12">
        <v>2</v>
      </c>
      <c r="AF44" s="12" t="s">
        <v>158</v>
      </c>
      <c r="AG44" s="54" t="s">
        <v>38</v>
      </c>
      <c r="AH44" s="56"/>
      <c r="AI44" s="80"/>
      <c r="AJ44" s="80"/>
      <c r="AK44" s="80"/>
      <c r="AL44" s="80"/>
      <c r="AM44" s="54"/>
      <c r="AN44" s="56"/>
      <c r="AO44" s="80"/>
      <c r="AP44" s="80"/>
      <c r="AQ44" s="80"/>
      <c r="AR44" s="80"/>
      <c r="AS44" s="54"/>
    </row>
    <row r="45" spans="1:45" ht="22" thickBot="1" x14ac:dyDescent="0.3">
      <c r="A45" s="30"/>
      <c r="B45" s="43" t="s">
        <v>9</v>
      </c>
      <c r="C45" s="43" t="s">
        <v>133</v>
      </c>
      <c r="D45" s="43" t="s">
        <v>138</v>
      </c>
      <c r="E45" s="43">
        <v>39</v>
      </c>
      <c r="F45" s="43" t="s">
        <v>40</v>
      </c>
      <c r="G45" s="43">
        <v>28</v>
      </c>
      <c r="H45" s="43">
        <v>11</v>
      </c>
      <c r="I45" s="43">
        <v>0</v>
      </c>
      <c r="J45" s="43">
        <f t="shared" si="4"/>
        <v>0.71794871794871795</v>
      </c>
      <c r="K45" s="43" t="s">
        <v>136</v>
      </c>
      <c r="L45" s="43" t="s">
        <v>158</v>
      </c>
      <c r="M45" s="43" t="s">
        <v>137</v>
      </c>
      <c r="N45" s="43" t="s">
        <v>140</v>
      </c>
      <c r="O45" s="48" t="s">
        <v>39</v>
      </c>
      <c r="P45" s="30"/>
      <c r="Q45" s="43" t="s">
        <v>136</v>
      </c>
      <c r="R45" s="43" t="s">
        <v>136</v>
      </c>
      <c r="S45" s="43">
        <v>2</v>
      </c>
      <c r="T45" s="43" t="s">
        <v>158</v>
      </c>
      <c r="U45" s="48" t="s">
        <v>38</v>
      </c>
      <c r="V45" s="30"/>
      <c r="W45" s="43" t="s">
        <v>136</v>
      </c>
      <c r="X45" s="43" t="s">
        <v>136</v>
      </c>
      <c r="Y45" s="43">
        <v>2</v>
      </c>
      <c r="Z45" s="43" t="s">
        <v>158</v>
      </c>
      <c r="AA45" s="48" t="s">
        <v>38</v>
      </c>
      <c r="AB45" s="57"/>
      <c r="AC45" s="43" t="s">
        <v>136</v>
      </c>
      <c r="AD45" s="43" t="s">
        <v>136</v>
      </c>
      <c r="AE45" s="43">
        <v>2</v>
      </c>
      <c r="AF45" s="43" t="s">
        <v>158</v>
      </c>
      <c r="AG45" s="58" t="s">
        <v>38</v>
      </c>
      <c r="AH45" s="57"/>
      <c r="AI45" s="82"/>
      <c r="AJ45" s="82"/>
      <c r="AK45" s="82"/>
      <c r="AL45" s="82"/>
      <c r="AM45" s="58"/>
      <c r="AN45" s="57"/>
      <c r="AO45" s="82"/>
      <c r="AP45" s="82"/>
      <c r="AQ45" s="82"/>
      <c r="AR45" s="82"/>
      <c r="AS45" s="58"/>
    </row>
    <row r="46" spans="1:45" ht="21" x14ac:dyDescent="0.25">
      <c r="E46">
        <f>SUM(E4:E45)</f>
        <v>1002</v>
      </c>
      <c r="G46">
        <f>SUM(G4:G45)</f>
        <v>511</v>
      </c>
      <c r="H46">
        <f>E46-G46</f>
        <v>491</v>
      </c>
      <c r="J46" s="12">
        <f>G46/E46</f>
        <v>0.50998003992015972</v>
      </c>
    </row>
  </sheetData>
  <mergeCells count="23">
    <mergeCell ref="A1:A3"/>
    <mergeCell ref="G1:J1"/>
    <mergeCell ref="K1:L1"/>
    <mergeCell ref="P1:P3"/>
    <mergeCell ref="A4:A22"/>
    <mergeCell ref="P4:P22"/>
    <mergeCell ref="S1:T1"/>
    <mergeCell ref="V1:V3"/>
    <mergeCell ref="Y1:Z1"/>
    <mergeCell ref="V4:V22"/>
    <mergeCell ref="W1:X1"/>
    <mergeCell ref="AB1:AB3"/>
    <mergeCell ref="AE1:AF1"/>
    <mergeCell ref="AB4:AB22"/>
    <mergeCell ref="AH1:AH3"/>
    <mergeCell ref="AC1:AD1"/>
    <mergeCell ref="AK1:AL1"/>
    <mergeCell ref="AH4:AH22"/>
    <mergeCell ref="AN1:AN3"/>
    <mergeCell ref="AQ1:AR1"/>
    <mergeCell ref="AN4:AN22"/>
    <mergeCell ref="AO1:AP1"/>
    <mergeCell ref="AI1:AJ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7BD1-9B34-E445-9FF2-E4570EC5FA64}">
  <dimension ref="A1:AM45"/>
  <sheetViews>
    <sheetView zoomScale="68" workbookViewId="0">
      <selection activeCell="A24" sqref="A24:XFD25"/>
    </sheetView>
  </sheetViews>
  <sheetFormatPr baseColWidth="10" defaultRowHeight="16" x14ac:dyDescent="0.2"/>
  <cols>
    <col min="1" max="1" width="33.6640625" customWidth="1"/>
    <col min="16" max="16" width="15.5" customWidth="1"/>
    <col min="22" max="22" width="24.6640625" customWidth="1"/>
    <col min="28" max="28" width="23.83203125" customWidth="1"/>
    <col min="34" max="34" width="15.5" customWidth="1"/>
  </cols>
  <sheetData>
    <row r="1" spans="1:39" ht="22" thickBot="1" x14ac:dyDescent="0.3">
      <c r="A1" s="119" t="s">
        <v>101</v>
      </c>
      <c r="B1" s="41"/>
      <c r="C1" s="23" t="s">
        <v>43</v>
      </c>
      <c r="D1" s="23" t="s">
        <v>112</v>
      </c>
      <c r="E1" s="22" t="s">
        <v>107</v>
      </c>
      <c r="F1" s="23" t="s">
        <v>134</v>
      </c>
      <c r="G1" s="117" t="s">
        <v>102</v>
      </c>
      <c r="H1" s="122"/>
      <c r="I1" s="122"/>
      <c r="J1" s="118"/>
      <c r="K1" s="117" t="s">
        <v>101</v>
      </c>
      <c r="L1" s="118"/>
      <c r="M1" s="21" t="s">
        <v>105</v>
      </c>
      <c r="N1" s="36" t="s">
        <v>101</v>
      </c>
      <c r="O1" s="45" t="s">
        <v>152</v>
      </c>
      <c r="P1" s="109" t="s">
        <v>101</v>
      </c>
      <c r="Q1" s="114" t="s">
        <v>104</v>
      </c>
      <c r="R1" s="116"/>
      <c r="S1" s="117" t="s">
        <v>101</v>
      </c>
      <c r="T1" s="118"/>
      <c r="U1" s="45" t="s">
        <v>149</v>
      </c>
      <c r="V1" s="109" t="s">
        <v>101</v>
      </c>
      <c r="W1" s="114" t="s">
        <v>104</v>
      </c>
      <c r="X1" s="116"/>
      <c r="Y1" s="117" t="s">
        <v>101</v>
      </c>
      <c r="Z1" s="118"/>
      <c r="AA1" s="45" t="s">
        <v>149</v>
      </c>
      <c r="AB1" s="127" t="s">
        <v>101</v>
      </c>
      <c r="AC1" s="77" t="s">
        <v>104</v>
      </c>
      <c r="AD1" s="78"/>
      <c r="AE1" s="123" t="s">
        <v>101</v>
      </c>
      <c r="AF1" s="124"/>
      <c r="AG1" s="49" t="s">
        <v>149</v>
      </c>
      <c r="AH1" s="127" t="s">
        <v>101</v>
      </c>
      <c r="AI1" s="130" t="s">
        <v>104</v>
      </c>
      <c r="AJ1" s="131"/>
      <c r="AK1" s="123" t="s">
        <v>101</v>
      </c>
      <c r="AL1" s="124"/>
      <c r="AM1" s="49" t="s">
        <v>149</v>
      </c>
    </row>
    <row r="2" spans="1:39" ht="22" thickBot="1" x14ac:dyDescent="0.3">
      <c r="A2" s="120"/>
      <c r="B2" s="12"/>
      <c r="C2" s="12"/>
      <c r="D2" s="12"/>
      <c r="E2" s="12"/>
      <c r="F2" s="12"/>
      <c r="G2" s="31" t="s">
        <v>40</v>
      </c>
      <c r="H2" s="32" t="s">
        <v>39</v>
      </c>
      <c r="I2" s="33" t="s">
        <v>38</v>
      </c>
      <c r="J2" s="28" t="s">
        <v>135</v>
      </c>
      <c r="K2" s="36" t="s">
        <v>159</v>
      </c>
      <c r="L2" s="35" t="s">
        <v>142</v>
      </c>
      <c r="M2" s="21" t="s">
        <v>148</v>
      </c>
      <c r="N2" s="39" t="s">
        <v>142</v>
      </c>
      <c r="O2" s="46"/>
      <c r="P2" s="110"/>
      <c r="Q2" s="21" t="s">
        <v>143</v>
      </c>
      <c r="R2" s="21" t="s">
        <v>144</v>
      </c>
      <c r="S2" s="35" t="s">
        <v>147</v>
      </c>
      <c r="T2" s="35" t="s">
        <v>142</v>
      </c>
      <c r="U2" s="46"/>
      <c r="V2" s="110"/>
      <c r="W2" s="21" t="s">
        <v>143</v>
      </c>
      <c r="X2" s="21" t="s">
        <v>144</v>
      </c>
      <c r="Y2" s="35" t="s">
        <v>147</v>
      </c>
      <c r="Z2" s="35" t="s">
        <v>142</v>
      </c>
      <c r="AA2" s="46"/>
      <c r="AB2" s="128"/>
      <c r="AC2" s="50" t="s">
        <v>143</v>
      </c>
      <c r="AD2" s="50" t="s">
        <v>144</v>
      </c>
      <c r="AE2" s="51" t="s">
        <v>147</v>
      </c>
      <c r="AF2" s="51" t="s">
        <v>142</v>
      </c>
      <c r="AG2" s="52"/>
      <c r="AH2" s="128"/>
      <c r="AI2" s="50" t="s">
        <v>143</v>
      </c>
      <c r="AJ2" s="50" t="s">
        <v>144</v>
      </c>
      <c r="AK2" s="51" t="s">
        <v>147</v>
      </c>
      <c r="AL2" s="51" t="s">
        <v>142</v>
      </c>
      <c r="AM2" s="52"/>
    </row>
    <row r="3" spans="1:39" ht="22" thickBot="1" x14ac:dyDescent="0.3">
      <c r="A3" s="121"/>
      <c r="B3" s="42" t="s">
        <v>1</v>
      </c>
      <c r="C3" s="4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47"/>
      <c r="P3" s="111"/>
      <c r="Q3" s="12"/>
      <c r="R3" s="12"/>
      <c r="S3" s="12"/>
      <c r="T3" s="12"/>
      <c r="U3" s="47"/>
      <c r="V3" s="111"/>
      <c r="W3" s="12"/>
      <c r="X3" s="12"/>
      <c r="Y3" s="12"/>
      <c r="Z3" s="12"/>
      <c r="AA3" s="47"/>
      <c r="AB3" s="129"/>
      <c r="AC3" s="27"/>
      <c r="AD3" s="27"/>
      <c r="AE3" s="27"/>
      <c r="AF3" s="27"/>
      <c r="AG3" s="53"/>
      <c r="AH3" s="129"/>
      <c r="AI3" s="27"/>
      <c r="AJ3" s="27"/>
      <c r="AK3" s="27"/>
      <c r="AL3" s="27"/>
      <c r="AM3" s="53"/>
    </row>
    <row r="4" spans="1:39" ht="21" x14ac:dyDescent="0.25">
      <c r="A4" s="112" t="s">
        <v>150</v>
      </c>
      <c r="B4" s="12" t="s">
        <v>8</v>
      </c>
      <c r="C4" s="12" t="s">
        <v>114</v>
      </c>
      <c r="D4" s="12" t="s">
        <v>138</v>
      </c>
      <c r="E4" s="12">
        <v>17</v>
      </c>
      <c r="F4" s="12" t="s">
        <v>40</v>
      </c>
      <c r="G4" s="12">
        <v>8</v>
      </c>
      <c r="H4" s="12">
        <v>3</v>
      </c>
      <c r="I4" s="12">
        <v>0</v>
      </c>
      <c r="J4" s="12">
        <f>G4/E4</f>
        <v>0.47058823529411764</v>
      </c>
      <c r="K4" s="12" t="s">
        <v>139</v>
      </c>
      <c r="L4" s="12" t="s">
        <v>161</v>
      </c>
      <c r="M4" s="12" t="s">
        <v>137</v>
      </c>
      <c r="N4" s="12" t="s">
        <v>140</v>
      </c>
      <c r="O4" s="40" t="s">
        <v>41</v>
      </c>
      <c r="P4" s="112" t="s">
        <v>28</v>
      </c>
      <c r="Q4" s="12" t="s">
        <v>136</v>
      </c>
      <c r="R4" s="12" t="s">
        <v>136</v>
      </c>
      <c r="S4" s="12">
        <v>2</v>
      </c>
      <c r="T4" s="12" t="s">
        <v>158</v>
      </c>
      <c r="U4" s="40" t="s">
        <v>40</v>
      </c>
      <c r="V4" s="112" t="s">
        <v>27</v>
      </c>
      <c r="W4" s="132"/>
      <c r="X4" s="133"/>
      <c r="Y4" s="133"/>
      <c r="Z4" s="134"/>
      <c r="AA4" s="40"/>
      <c r="AB4" s="125" t="s">
        <v>26</v>
      </c>
      <c r="AC4" s="80"/>
      <c r="AD4" s="80"/>
      <c r="AE4" s="80"/>
      <c r="AF4" s="80"/>
      <c r="AG4" s="54"/>
      <c r="AH4" s="125" t="s">
        <v>157</v>
      </c>
      <c r="AI4" s="80"/>
      <c r="AJ4" s="80"/>
      <c r="AK4" s="80"/>
      <c r="AL4" s="80"/>
      <c r="AM4" s="54"/>
    </row>
    <row r="5" spans="1:39" ht="21" x14ac:dyDescent="0.25">
      <c r="A5" s="113"/>
      <c r="B5" s="12" t="s">
        <v>9</v>
      </c>
      <c r="C5" s="12" t="s">
        <v>114</v>
      </c>
      <c r="D5" s="12" t="s">
        <v>138</v>
      </c>
      <c r="E5" s="12">
        <v>17</v>
      </c>
      <c r="F5" s="12" t="s">
        <v>40</v>
      </c>
      <c r="G5" s="12">
        <v>8</v>
      </c>
      <c r="H5" s="12">
        <v>3</v>
      </c>
      <c r="I5" s="12">
        <v>0</v>
      </c>
      <c r="J5" s="12">
        <f>G5/E5</f>
        <v>0.47058823529411764</v>
      </c>
      <c r="K5" s="12" t="s">
        <v>139</v>
      </c>
      <c r="L5" s="12" t="s">
        <v>161</v>
      </c>
      <c r="M5" s="12" t="s">
        <v>137</v>
      </c>
      <c r="N5" s="12" t="s">
        <v>140</v>
      </c>
      <c r="O5" s="40" t="s">
        <v>41</v>
      </c>
      <c r="P5" s="113"/>
      <c r="Q5" s="12" t="s">
        <v>136</v>
      </c>
      <c r="R5" s="12" t="s">
        <v>136</v>
      </c>
      <c r="S5" s="12">
        <v>2</v>
      </c>
      <c r="T5" s="12" t="s">
        <v>158</v>
      </c>
      <c r="U5" s="40" t="s">
        <v>40</v>
      </c>
      <c r="V5" s="113"/>
      <c r="W5" s="132"/>
      <c r="X5" s="133"/>
      <c r="Y5" s="133"/>
      <c r="Z5" s="134"/>
      <c r="AA5" s="40"/>
      <c r="AB5" s="126"/>
      <c r="AC5" s="80"/>
      <c r="AD5" s="80"/>
      <c r="AE5" s="80"/>
      <c r="AF5" s="80"/>
      <c r="AG5" s="54"/>
      <c r="AH5" s="126"/>
      <c r="AI5" s="80"/>
      <c r="AJ5" s="80"/>
      <c r="AK5" s="80"/>
      <c r="AL5" s="80"/>
      <c r="AM5" s="54"/>
    </row>
    <row r="6" spans="1:39" ht="21" x14ac:dyDescent="0.25">
      <c r="A6" s="113"/>
      <c r="B6" s="12" t="s">
        <v>8</v>
      </c>
      <c r="C6" s="12" t="s">
        <v>113</v>
      </c>
      <c r="D6" s="12" t="s">
        <v>138</v>
      </c>
      <c r="E6" s="12">
        <v>6</v>
      </c>
      <c r="F6" s="12" t="s">
        <v>40</v>
      </c>
      <c r="G6" s="12">
        <v>5</v>
      </c>
      <c r="H6" s="12">
        <v>1</v>
      </c>
      <c r="I6" s="12">
        <v>0</v>
      </c>
      <c r="J6" s="12">
        <f t="shared" ref="J6:J9" si="0">G6/E6</f>
        <v>0.83333333333333337</v>
      </c>
      <c r="K6" s="12" t="s">
        <v>136</v>
      </c>
      <c r="L6" s="12" t="s">
        <v>158</v>
      </c>
      <c r="M6" s="12" t="s">
        <v>137</v>
      </c>
      <c r="N6" s="12" t="s">
        <v>140</v>
      </c>
      <c r="O6" s="40" t="s">
        <v>39</v>
      </c>
      <c r="P6" s="113"/>
      <c r="Q6" s="135"/>
      <c r="R6" s="136"/>
      <c r="S6" s="136"/>
      <c r="T6" s="137"/>
      <c r="U6" s="40"/>
      <c r="V6" s="113"/>
      <c r="W6" s="132"/>
      <c r="X6" s="133"/>
      <c r="Y6" s="133"/>
      <c r="Z6" s="134"/>
      <c r="AA6" s="40"/>
      <c r="AB6" s="126"/>
      <c r="AC6" s="27" t="s">
        <v>137</v>
      </c>
      <c r="AD6" s="27" t="s">
        <v>136</v>
      </c>
      <c r="AE6" s="27">
        <v>1</v>
      </c>
      <c r="AF6" s="27" t="s">
        <v>140</v>
      </c>
      <c r="AG6" s="54" t="s">
        <v>39</v>
      </c>
      <c r="AH6" s="126"/>
      <c r="AI6" s="80"/>
      <c r="AJ6" s="80"/>
      <c r="AK6" s="80"/>
      <c r="AL6" s="80"/>
      <c r="AM6" s="54"/>
    </row>
    <row r="7" spans="1:39" ht="21" x14ac:dyDescent="0.25">
      <c r="A7" s="113"/>
      <c r="B7" s="12" t="s">
        <v>9</v>
      </c>
      <c r="C7" s="12" t="s">
        <v>113</v>
      </c>
      <c r="D7" s="12" t="s">
        <v>138</v>
      </c>
      <c r="E7" s="12">
        <v>6</v>
      </c>
      <c r="F7" s="12" t="s">
        <v>40</v>
      </c>
      <c r="G7" s="12">
        <v>5</v>
      </c>
      <c r="H7" s="12">
        <v>1</v>
      </c>
      <c r="I7" s="12">
        <v>0</v>
      </c>
      <c r="J7" s="12">
        <f t="shared" si="0"/>
        <v>0.83333333333333337</v>
      </c>
      <c r="K7" s="12" t="s">
        <v>136</v>
      </c>
      <c r="L7" s="12" t="s">
        <v>158</v>
      </c>
      <c r="M7" s="12" t="s">
        <v>137</v>
      </c>
      <c r="N7" s="12" t="s">
        <v>140</v>
      </c>
      <c r="O7" s="40" t="s">
        <v>39</v>
      </c>
      <c r="P7" s="113"/>
      <c r="Q7" s="135"/>
      <c r="R7" s="136"/>
      <c r="S7" s="136"/>
      <c r="T7" s="137"/>
      <c r="U7" s="40"/>
      <c r="V7" s="113"/>
      <c r="W7" s="132"/>
      <c r="X7" s="133"/>
      <c r="Y7" s="133"/>
      <c r="Z7" s="134"/>
      <c r="AA7" s="40"/>
      <c r="AB7" s="126"/>
      <c r="AC7" s="27" t="s">
        <v>137</v>
      </c>
      <c r="AD7" s="27" t="s">
        <v>136</v>
      </c>
      <c r="AE7" s="27">
        <v>1</v>
      </c>
      <c r="AF7" s="27" t="s">
        <v>140</v>
      </c>
      <c r="AG7" s="54" t="s">
        <v>39</v>
      </c>
      <c r="AH7" s="126"/>
      <c r="AI7" s="80"/>
      <c r="AJ7" s="80"/>
      <c r="AK7" s="80"/>
      <c r="AL7" s="80"/>
      <c r="AM7" s="54"/>
    </row>
    <row r="8" spans="1:39" ht="21" x14ac:dyDescent="0.25">
      <c r="A8" s="113"/>
      <c r="B8" s="12" t="s">
        <v>8</v>
      </c>
      <c r="C8" s="12" t="s">
        <v>115</v>
      </c>
      <c r="D8" s="12" t="s">
        <v>138</v>
      </c>
      <c r="E8" s="12">
        <v>5</v>
      </c>
      <c r="F8" s="12" t="s">
        <v>40</v>
      </c>
      <c r="G8" s="12">
        <v>1</v>
      </c>
      <c r="H8" s="12">
        <v>3</v>
      </c>
      <c r="I8" s="12">
        <v>1</v>
      </c>
      <c r="J8" s="12">
        <f t="shared" si="0"/>
        <v>0.2</v>
      </c>
      <c r="K8" s="12" t="s">
        <v>137</v>
      </c>
      <c r="L8" s="12" t="s">
        <v>161</v>
      </c>
      <c r="M8" s="12" t="s">
        <v>137</v>
      </c>
      <c r="N8" s="12" t="s">
        <v>140</v>
      </c>
      <c r="O8" s="40" t="s">
        <v>41</v>
      </c>
      <c r="P8" s="113"/>
      <c r="Q8" s="79"/>
      <c r="R8" s="79"/>
      <c r="S8" s="79"/>
      <c r="T8" s="79"/>
      <c r="U8" s="40"/>
      <c r="V8" s="113"/>
      <c r="W8" s="79"/>
      <c r="X8" s="79"/>
      <c r="Y8" s="79"/>
      <c r="Z8" s="79"/>
      <c r="AA8" s="40"/>
      <c r="AB8" s="126"/>
      <c r="AC8" s="80"/>
      <c r="AD8" s="80"/>
      <c r="AE8" s="80"/>
      <c r="AF8" s="80"/>
      <c r="AG8" s="54"/>
      <c r="AH8" s="126"/>
      <c r="AI8" s="27" t="s">
        <v>136</v>
      </c>
      <c r="AJ8" s="27" t="s">
        <v>168</v>
      </c>
      <c r="AK8" s="27">
        <v>1</v>
      </c>
      <c r="AL8" s="27" t="s">
        <v>140</v>
      </c>
      <c r="AM8" s="40" t="s">
        <v>41</v>
      </c>
    </row>
    <row r="9" spans="1:39" ht="21" x14ac:dyDescent="0.25">
      <c r="A9" s="113"/>
      <c r="B9" s="12" t="s">
        <v>9</v>
      </c>
      <c r="C9" s="12" t="s">
        <v>115</v>
      </c>
      <c r="D9" s="12" t="s">
        <v>138</v>
      </c>
      <c r="E9" s="12">
        <v>5</v>
      </c>
      <c r="F9" s="12" t="s">
        <v>40</v>
      </c>
      <c r="G9" s="12">
        <v>1</v>
      </c>
      <c r="H9" s="12">
        <v>3</v>
      </c>
      <c r="I9" s="12">
        <v>1</v>
      </c>
      <c r="J9" s="12">
        <f t="shared" si="0"/>
        <v>0.2</v>
      </c>
      <c r="K9" s="12" t="s">
        <v>137</v>
      </c>
      <c r="L9" s="12" t="s">
        <v>161</v>
      </c>
      <c r="M9" s="12" t="s">
        <v>137</v>
      </c>
      <c r="N9" s="12" t="s">
        <v>140</v>
      </c>
      <c r="O9" s="40" t="s">
        <v>41</v>
      </c>
      <c r="P9" s="113"/>
      <c r="Q9" s="79"/>
      <c r="R9" s="79"/>
      <c r="S9" s="79"/>
      <c r="T9" s="79"/>
      <c r="U9" s="40"/>
      <c r="V9" s="113"/>
      <c r="W9" s="79"/>
      <c r="X9" s="79"/>
      <c r="Y9" s="79"/>
      <c r="Z9" s="79"/>
      <c r="AA9" s="40"/>
      <c r="AB9" s="126"/>
      <c r="AC9" s="80"/>
      <c r="AD9" s="80"/>
      <c r="AE9" s="80"/>
      <c r="AF9" s="80"/>
      <c r="AG9" s="54"/>
      <c r="AH9" s="126"/>
      <c r="AI9" s="27" t="s">
        <v>136</v>
      </c>
      <c r="AJ9" s="27" t="s">
        <v>168</v>
      </c>
      <c r="AK9" s="27">
        <v>1</v>
      </c>
      <c r="AL9" s="27" t="s">
        <v>140</v>
      </c>
      <c r="AM9" s="40" t="s">
        <v>41</v>
      </c>
    </row>
    <row r="10" spans="1:39" ht="21" x14ac:dyDescent="0.25">
      <c r="A10" s="113"/>
      <c r="B10" s="27" t="s">
        <v>8</v>
      </c>
      <c r="C10" s="27" t="s">
        <v>116</v>
      </c>
      <c r="D10" s="27" t="s">
        <v>186</v>
      </c>
      <c r="E10" s="27">
        <v>20</v>
      </c>
      <c r="F10" s="27" t="s">
        <v>40</v>
      </c>
      <c r="G10" s="27">
        <v>4</v>
      </c>
      <c r="H10" s="27" t="s">
        <v>169</v>
      </c>
      <c r="I10" s="27" t="s">
        <v>169</v>
      </c>
      <c r="J10" s="27">
        <v>0.2</v>
      </c>
      <c r="K10" s="27" t="s">
        <v>136</v>
      </c>
      <c r="L10" s="27" t="s">
        <v>158</v>
      </c>
      <c r="M10" s="27" t="s">
        <v>169</v>
      </c>
      <c r="N10" s="27" t="s">
        <v>161</v>
      </c>
      <c r="O10" s="54" t="s">
        <v>40</v>
      </c>
      <c r="P10" s="113"/>
      <c r="Q10" s="12" t="s">
        <v>136</v>
      </c>
      <c r="R10" s="12" t="s">
        <v>170</v>
      </c>
      <c r="S10" s="12">
        <v>1</v>
      </c>
      <c r="T10" s="12" t="s">
        <v>140</v>
      </c>
      <c r="U10" s="40" t="s">
        <v>40</v>
      </c>
      <c r="V10" s="113"/>
      <c r="W10" s="79"/>
      <c r="X10" s="79"/>
      <c r="Y10" s="79"/>
      <c r="Z10" s="79"/>
      <c r="AA10" s="40"/>
      <c r="AB10" s="126"/>
      <c r="AC10" s="80"/>
      <c r="AD10" s="80"/>
      <c r="AE10" s="80"/>
      <c r="AF10" s="80"/>
      <c r="AG10" s="54"/>
      <c r="AH10" s="126"/>
      <c r="AI10" s="80"/>
      <c r="AJ10" s="80"/>
      <c r="AK10" s="80"/>
      <c r="AL10" s="80"/>
      <c r="AM10" s="54"/>
    </row>
    <row r="11" spans="1:39" ht="21" x14ac:dyDescent="0.25">
      <c r="A11" s="113"/>
      <c r="B11" s="81" t="s">
        <v>9</v>
      </c>
      <c r="C11" s="81" t="s">
        <v>116</v>
      </c>
      <c r="D11" s="81"/>
      <c r="E11" s="81">
        <v>20</v>
      </c>
      <c r="F11" s="81"/>
      <c r="G11" s="81"/>
      <c r="H11" s="81"/>
      <c r="I11" s="81"/>
      <c r="J11" s="81"/>
      <c r="K11" s="81"/>
      <c r="L11" s="81"/>
      <c r="M11" s="81"/>
      <c r="N11" s="81"/>
      <c r="O11" s="40"/>
      <c r="P11" s="113"/>
      <c r="Q11" s="81"/>
      <c r="R11" s="81"/>
      <c r="S11" s="81"/>
      <c r="T11" s="81"/>
      <c r="U11" s="40"/>
      <c r="V11" s="113"/>
      <c r="W11" s="79"/>
      <c r="X11" s="79"/>
      <c r="Y11" s="79"/>
      <c r="Z11" s="79"/>
      <c r="AA11" s="40"/>
      <c r="AB11" s="126"/>
      <c r="AC11" s="80"/>
      <c r="AD11" s="80"/>
      <c r="AE11" s="80"/>
      <c r="AF11" s="80"/>
      <c r="AG11" s="54"/>
      <c r="AH11" s="126"/>
      <c r="AI11" s="80"/>
      <c r="AJ11" s="80"/>
      <c r="AK11" s="80"/>
      <c r="AL11" s="80"/>
      <c r="AM11" s="54"/>
    </row>
    <row r="12" spans="1:39" ht="21" x14ac:dyDescent="0.25">
      <c r="A12" s="113"/>
      <c r="B12" s="12" t="s">
        <v>8</v>
      </c>
      <c r="C12" s="12" t="s">
        <v>117</v>
      </c>
      <c r="D12" s="12" t="s">
        <v>138</v>
      </c>
      <c r="E12" s="12">
        <v>8</v>
      </c>
      <c r="F12" s="12" t="s">
        <v>40</v>
      </c>
      <c r="G12" s="12">
        <v>5</v>
      </c>
      <c r="H12" s="12">
        <v>3</v>
      </c>
      <c r="I12" s="12">
        <v>0</v>
      </c>
      <c r="J12" s="12">
        <f>G12/E12</f>
        <v>0.625</v>
      </c>
      <c r="K12" s="12" t="s">
        <v>137</v>
      </c>
      <c r="L12" s="12" t="s">
        <v>158</v>
      </c>
      <c r="M12" s="12" t="s">
        <v>169</v>
      </c>
      <c r="N12" s="12" t="s">
        <v>161</v>
      </c>
      <c r="O12" s="40" t="s">
        <v>40</v>
      </c>
      <c r="P12" s="113"/>
      <c r="Q12" s="81"/>
      <c r="R12" s="81"/>
      <c r="S12" s="81"/>
      <c r="T12" s="81"/>
      <c r="U12" s="40"/>
      <c r="V12" s="113"/>
      <c r="W12" s="79"/>
      <c r="X12" s="79"/>
      <c r="Y12" s="79"/>
      <c r="Z12" s="79"/>
      <c r="AA12" s="40"/>
      <c r="AB12" s="126"/>
      <c r="AC12" s="27" t="s">
        <v>173</v>
      </c>
      <c r="AD12" s="27" t="s">
        <v>168</v>
      </c>
      <c r="AE12" s="27">
        <v>0</v>
      </c>
      <c r="AF12" s="27" t="s">
        <v>161</v>
      </c>
      <c r="AG12" s="54" t="s">
        <v>41</v>
      </c>
      <c r="AH12" s="126"/>
      <c r="AI12" s="80"/>
      <c r="AJ12" s="80"/>
      <c r="AK12" s="80"/>
      <c r="AL12" s="80"/>
      <c r="AM12" s="54"/>
    </row>
    <row r="13" spans="1:39" ht="21" x14ac:dyDescent="0.25">
      <c r="A13" s="113"/>
      <c r="B13" s="12" t="s">
        <v>9</v>
      </c>
      <c r="C13" s="12" t="s">
        <v>117</v>
      </c>
      <c r="D13" s="12" t="s">
        <v>138</v>
      </c>
      <c r="E13" s="12">
        <v>8</v>
      </c>
      <c r="F13" s="12" t="s">
        <v>40</v>
      </c>
      <c r="G13" s="12">
        <v>5</v>
      </c>
      <c r="H13" s="12">
        <v>3</v>
      </c>
      <c r="I13" s="12">
        <v>0</v>
      </c>
      <c r="J13" s="12">
        <f t="shared" ref="J13:J17" si="1">G13/E13</f>
        <v>0.625</v>
      </c>
      <c r="K13" s="12" t="s">
        <v>137</v>
      </c>
      <c r="L13" s="12" t="s">
        <v>158</v>
      </c>
      <c r="M13" s="12" t="s">
        <v>169</v>
      </c>
      <c r="N13" s="12" t="s">
        <v>161</v>
      </c>
      <c r="O13" s="40" t="s">
        <v>40</v>
      </c>
      <c r="P13" s="113"/>
      <c r="Q13" s="81"/>
      <c r="R13" s="81"/>
      <c r="S13" s="81"/>
      <c r="T13" s="81"/>
      <c r="U13" s="40"/>
      <c r="V13" s="113"/>
      <c r="W13" s="79"/>
      <c r="X13" s="79"/>
      <c r="Y13" s="79"/>
      <c r="Z13" s="79"/>
      <c r="AA13" s="40"/>
      <c r="AB13" s="126"/>
      <c r="AC13" s="27" t="s">
        <v>173</v>
      </c>
      <c r="AD13" s="27" t="s">
        <v>168</v>
      </c>
      <c r="AE13" s="27">
        <v>0</v>
      </c>
      <c r="AF13" s="27" t="s">
        <v>161</v>
      </c>
      <c r="AG13" s="54" t="s">
        <v>41</v>
      </c>
      <c r="AH13" s="126"/>
      <c r="AI13" s="80"/>
      <c r="AJ13" s="80"/>
      <c r="AK13" s="80"/>
      <c r="AL13" s="80"/>
      <c r="AM13" s="54"/>
    </row>
    <row r="14" spans="1:39" ht="21" x14ac:dyDescent="0.25">
      <c r="A14" s="113"/>
      <c r="B14" s="12" t="s">
        <v>8</v>
      </c>
      <c r="C14" s="12" t="s">
        <v>118</v>
      </c>
      <c r="D14" s="12" t="s">
        <v>138</v>
      </c>
      <c r="E14" s="12">
        <v>17</v>
      </c>
      <c r="F14" s="12" t="s">
        <v>40</v>
      </c>
      <c r="G14" s="12">
        <v>6</v>
      </c>
      <c r="H14" s="12">
        <v>9</v>
      </c>
      <c r="I14" s="12">
        <v>2</v>
      </c>
      <c r="J14" s="12">
        <f t="shared" si="1"/>
        <v>0.35294117647058826</v>
      </c>
      <c r="K14" s="12" t="s">
        <v>136</v>
      </c>
      <c r="L14" s="12" t="s">
        <v>161</v>
      </c>
      <c r="M14" s="12" t="s">
        <v>169</v>
      </c>
      <c r="N14" s="12" t="s">
        <v>161</v>
      </c>
      <c r="O14" s="40" t="s">
        <v>41</v>
      </c>
      <c r="P14" s="113"/>
      <c r="Q14" s="12" t="s">
        <v>136</v>
      </c>
      <c r="R14" s="12" t="s">
        <v>168</v>
      </c>
      <c r="S14" s="12">
        <v>1</v>
      </c>
      <c r="T14" s="12" t="s">
        <v>140</v>
      </c>
      <c r="U14" s="40" t="s">
        <v>41</v>
      </c>
      <c r="V14" s="113"/>
      <c r="W14" s="12" t="s">
        <v>136</v>
      </c>
      <c r="X14" s="12" t="s">
        <v>168</v>
      </c>
      <c r="Y14" s="12">
        <v>1</v>
      </c>
      <c r="Z14" s="12" t="s">
        <v>140</v>
      </c>
      <c r="AA14" s="40" t="s">
        <v>41</v>
      </c>
      <c r="AB14" s="126"/>
      <c r="AC14" s="12" t="s">
        <v>136</v>
      </c>
      <c r="AD14" s="12" t="s">
        <v>168</v>
      </c>
      <c r="AE14" s="12">
        <v>1</v>
      </c>
      <c r="AF14" s="12" t="s">
        <v>140</v>
      </c>
      <c r="AG14" s="40" t="s">
        <v>41</v>
      </c>
      <c r="AH14" s="126"/>
      <c r="AI14" s="80"/>
      <c r="AJ14" s="80"/>
      <c r="AK14" s="80"/>
      <c r="AL14" s="80"/>
      <c r="AM14" s="54"/>
    </row>
    <row r="15" spans="1:39" ht="21" x14ac:dyDescent="0.25">
      <c r="A15" s="113"/>
      <c r="B15" s="12" t="s">
        <v>9</v>
      </c>
      <c r="C15" s="12" t="s">
        <v>118</v>
      </c>
      <c r="D15" s="12" t="s">
        <v>138</v>
      </c>
      <c r="E15" s="12">
        <v>17</v>
      </c>
      <c r="F15" s="12" t="s">
        <v>40</v>
      </c>
      <c r="G15" s="12">
        <v>6</v>
      </c>
      <c r="H15" s="12">
        <v>9</v>
      </c>
      <c r="I15" s="12">
        <v>2</v>
      </c>
      <c r="J15" s="12">
        <f t="shared" si="1"/>
        <v>0.35294117647058826</v>
      </c>
      <c r="K15" s="12" t="s">
        <v>136</v>
      </c>
      <c r="L15" s="12" t="s">
        <v>161</v>
      </c>
      <c r="M15" s="12" t="s">
        <v>169</v>
      </c>
      <c r="N15" s="12" t="s">
        <v>161</v>
      </c>
      <c r="O15" s="40" t="s">
        <v>41</v>
      </c>
      <c r="P15" s="113"/>
      <c r="Q15" s="12" t="s">
        <v>136</v>
      </c>
      <c r="R15" s="12" t="s">
        <v>168</v>
      </c>
      <c r="S15" s="12">
        <v>1</v>
      </c>
      <c r="T15" s="12" t="s">
        <v>140</v>
      </c>
      <c r="U15" s="40" t="s">
        <v>41</v>
      </c>
      <c r="V15" s="113"/>
      <c r="W15" s="12" t="s">
        <v>136</v>
      </c>
      <c r="X15" s="12" t="s">
        <v>168</v>
      </c>
      <c r="Y15" s="12">
        <v>1</v>
      </c>
      <c r="Z15" s="12" t="s">
        <v>140</v>
      </c>
      <c r="AA15" s="40" t="s">
        <v>41</v>
      </c>
      <c r="AB15" s="126"/>
      <c r="AC15" s="12" t="s">
        <v>136</v>
      </c>
      <c r="AD15" s="12" t="s">
        <v>168</v>
      </c>
      <c r="AE15" s="12">
        <v>1</v>
      </c>
      <c r="AF15" s="12" t="s">
        <v>140</v>
      </c>
      <c r="AG15" s="40" t="s">
        <v>41</v>
      </c>
      <c r="AH15" s="126"/>
      <c r="AI15" s="80"/>
      <c r="AJ15" s="80"/>
      <c r="AK15" s="80"/>
      <c r="AL15" s="80"/>
      <c r="AM15" s="54"/>
    </row>
    <row r="16" spans="1:39" ht="21" x14ac:dyDescent="0.25">
      <c r="A16" s="113"/>
      <c r="B16" s="12" t="s">
        <v>8</v>
      </c>
      <c r="C16" s="12" t="s">
        <v>119</v>
      </c>
      <c r="D16" s="12" t="s">
        <v>138</v>
      </c>
      <c r="E16" s="12">
        <v>11</v>
      </c>
      <c r="F16" s="12" t="s">
        <v>40</v>
      </c>
      <c r="G16" s="12">
        <v>4</v>
      </c>
      <c r="H16" s="12">
        <v>0</v>
      </c>
      <c r="I16" s="12">
        <v>7</v>
      </c>
      <c r="J16" s="12">
        <f t="shared" si="1"/>
        <v>0.36363636363636365</v>
      </c>
      <c r="K16" s="12" t="s">
        <v>137</v>
      </c>
      <c r="L16" s="12" t="s">
        <v>161</v>
      </c>
      <c r="M16" s="12" t="s">
        <v>137</v>
      </c>
      <c r="N16" s="12" t="s">
        <v>140</v>
      </c>
      <c r="O16" s="40" t="s">
        <v>41</v>
      </c>
      <c r="P16" s="113"/>
      <c r="Q16" s="81"/>
      <c r="R16" s="81"/>
      <c r="S16" s="81"/>
      <c r="T16" s="81"/>
      <c r="U16" s="40"/>
      <c r="V16" s="113"/>
      <c r="W16" s="81"/>
      <c r="X16" s="81"/>
      <c r="Y16" s="81"/>
      <c r="Z16" s="81"/>
      <c r="AA16" s="40"/>
      <c r="AB16" s="126"/>
      <c r="AC16" s="81"/>
      <c r="AD16" s="81"/>
      <c r="AE16" s="81"/>
      <c r="AF16" s="81"/>
      <c r="AG16" s="54"/>
      <c r="AH16" s="126"/>
      <c r="AI16" s="27" t="s">
        <v>136</v>
      </c>
      <c r="AJ16" s="27" t="s">
        <v>136</v>
      </c>
      <c r="AK16" s="27">
        <v>2</v>
      </c>
      <c r="AL16" s="27" t="s">
        <v>158</v>
      </c>
      <c r="AM16" s="54" t="s">
        <v>40</v>
      </c>
    </row>
    <row r="17" spans="1:39" ht="21" x14ac:dyDescent="0.25">
      <c r="A17" s="113"/>
      <c r="B17" s="12" t="s">
        <v>9</v>
      </c>
      <c r="C17" s="12" t="s">
        <v>119</v>
      </c>
      <c r="D17" s="12" t="s">
        <v>138</v>
      </c>
      <c r="E17" s="12">
        <v>11</v>
      </c>
      <c r="F17" s="12" t="s">
        <v>40</v>
      </c>
      <c r="G17" s="12">
        <v>4</v>
      </c>
      <c r="H17" s="12">
        <v>0</v>
      </c>
      <c r="I17" s="12">
        <v>7</v>
      </c>
      <c r="J17" s="12">
        <f t="shared" si="1"/>
        <v>0.36363636363636365</v>
      </c>
      <c r="K17" s="12" t="s">
        <v>137</v>
      </c>
      <c r="L17" s="12" t="s">
        <v>161</v>
      </c>
      <c r="M17" s="12" t="s">
        <v>137</v>
      </c>
      <c r="N17" s="12" t="s">
        <v>140</v>
      </c>
      <c r="O17" s="40" t="s">
        <v>41</v>
      </c>
      <c r="P17" s="113"/>
      <c r="Q17" s="81"/>
      <c r="R17" s="81"/>
      <c r="S17" s="81"/>
      <c r="T17" s="81"/>
      <c r="U17" s="40"/>
      <c r="V17" s="113"/>
      <c r="W17" s="81"/>
      <c r="X17" s="81"/>
      <c r="Y17" s="81"/>
      <c r="Z17" s="81"/>
      <c r="AA17" s="40"/>
      <c r="AB17" s="126"/>
      <c r="AC17" s="81"/>
      <c r="AD17" s="81"/>
      <c r="AE17" s="81"/>
      <c r="AF17" s="81"/>
      <c r="AG17" s="54"/>
      <c r="AH17" s="126"/>
      <c r="AI17" s="27" t="s">
        <v>136</v>
      </c>
      <c r="AJ17" s="27" t="s">
        <v>136</v>
      </c>
      <c r="AK17" s="27">
        <v>2</v>
      </c>
      <c r="AL17" s="27" t="s">
        <v>158</v>
      </c>
      <c r="AM17" s="54" t="s">
        <v>40</v>
      </c>
    </row>
    <row r="18" spans="1:39" ht="21" x14ac:dyDescent="0.25">
      <c r="A18" s="113"/>
      <c r="B18" s="27" t="s">
        <v>8</v>
      </c>
      <c r="C18" s="27" t="s">
        <v>120</v>
      </c>
      <c r="D18" s="27" t="s">
        <v>138</v>
      </c>
      <c r="E18" s="27">
        <v>57</v>
      </c>
      <c r="F18" s="27" t="s">
        <v>40</v>
      </c>
      <c r="G18" s="27">
        <v>40</v>
      </c>
      <c r="H18" s="27">
        <v>9</v>
      </c>
      <c r="I18" s="27">
        <v>0</v>
      </c>
      <c r="J18" s="27">
        <v>0.70175438599999995</v>
      </c>
      <c r="K18" s="27" t="s">
        <v>136</v>
      </c>
      <c r="L18" s="27" t="s">
        <v>158</v>
      </c>
      <c r="M18" s="27" t="s">
        <v>136</v>
      </c>
      <c r="N18" s="27" t="s">
        <v>161</v>
      </c>
      <c r="O18" s="54" t="s">
        <v>40</v>
      </c>
      <c r="P18" s="113"/>
      <c r="Q18" s="12" t="s">
        <v>136</v>
      </c>
      <c r="R18" s="12" t="s">
        <v>136</v>
      </c>
      <c r="S18" s="12">
        <v>2</v>
      </c>
      <c r="T18" s="12" t="s">
        <v>158</v>
      </c>
      <c r="U18" s="40" t="s">
        <v>39</v>
      </c>
      <c r="V18" s="113"/>
      <c r="W18" s="12" t="s">
        <v>136</v>
      </c>
      <c r="X18" s="12" t="s">
        <v>136</v>
      </c>
      <c r="Y18" s="12">
        <v>2</v>
      </c>
      <c r="Z18" s="12" t="s">
        <v>158</v>
      </c>
      <c r="AA18" s="40" t="s">
        <v>39</v>
      </c>
      <c r="AB18" s="126"/>
      <c r="AC18" s="12" t="s">
        <v>136</v>
      </c>
      <c r="AD18" s="12" t="s">
        <v>136</v>
      </c>
      <c r="AE18" s="12">
        <v>2</v>
      </c>
      <c r="AF18" s="12" t="s">
        <v>158</v>
      </c>
      <c r="AG18" s="40" t="s">
        <v>39</v>
      </c>
      <c r="AH18" s="126"/>
      <c r="AI18" s="81"/>
      <c r="AJ18" s="81"/>
      <c r="AK18" s="81"/>
      <c r="AL18" s="81"/>
      <c r="AM18" s="54"/>
    </row>
    <row r="19" spans="1:39" ht="21" x14ac:dyDescent="0.25">
      <c r="A19" s="113"/>
      <c r="B19" s="27" t="s">
        <v>9</v>
      </c>
      <c r="C19" s="27" t="s">
        <v>120</v>
      </c>
      <c r="D19" s="27" t="s">
        <v>138</v>
      </c>
      <c r="E19" s="27">
        <v>57</v>
      </c>
      <c r="F19" s="27" t="s">
        <v>40</v>
      </c>
      <c r="G19" s="27">
        <v>40</v>
      </c>
      <c r="H19" s="27">
        <v>9</v>
      </c>
      <c r="I19" s="27">
        <v>0</v>
      </c>
      <c r="J19" s="27">
        <v>0.70175438599999995</v>
      </c>
      <c r="K19" s="27" t="s">
        <v>136</v>
      </c>
      <c r="L19" s="27" t="s">
        <v>158</v>
      </c>
      <c r="M19" s="27" t="s">
        <v>136</v>
      </c>
      <c r="N19" s="27" t="s">
        <v>161</v>
      </c>
      <c r="O19" s="54" t="s">
        <v>40</v>
      </c>
      <c r="P19" s="113"/>
      <c r="Q19" s="12" t="s">
        <v>136</v>
      </c>
      <c r="R19" s="12" t="s">
        <v>136</v>
      </c>
      <c r="S19" s="12">
        <v>2</v>
      </c>
      <c r="T19" s="12" t="s">
        <v>158</v>
      </c>
      <c r="U19" s="40" t="s">
        <v>39</v>
      </c>
      <c r="V19" s="113"/>
      <c r="W19" s="12" t="s">
        <v>136</v>
      </c>
      <c r="X19" s="12" t="s">
        <v>136</v>
      </c>
      <c r="Y19" s="12">
        <v>2</v>
      </c>
      <c r="Z19" s="12" t="s">
        <v>158</v>
      </c>
      <c r="AA19" s="40" t="s">
        <v>39</v>
      </c>
      <c r="AB19" s="126"/>
      <c r="AC19" s="12" t="s">
        <v>136</v>
      </c>
      <c r="AD19" s="12" t="s">
        <v>136</v>
      </c>
      <c r="AE19" s="12">
        <v>2</v>
      </c>
      <c r="AF19" s="12" t="s">
        <v>158</v>
      </c>
      <c r="AG19" s="40" t="s">
        <v>39</v>
      </c>
      <c r="AH19" s="126"/>
      <c r="AI19" s="81"/>
      <c r="AJ19" s="81"/>
      <c r="AK19" s="81"/>
      <c r="AL19" s="81"/>
      <c r="AM19" s="54"/>
    </row>
    <row r="20" spans="1:39" ht="21" x14ac:dyDescent="0.25">
      <c r="A20" s="113"/>
      <c r="B20" s="12" t="s">
        <v>8</v>
      </c>
      <c r="C20" s="12" t="s">
        <v>121</v>
      </c>
      <c r="D20" s="12" t="s">
        <v>138</v>
      </c>
      <c r="E20" s="12">
        <v>7</v>
      </c>
      <c r="F20" s="12" t="s">
        <v>40</v>
      </c>
      <c r="G20" s="12">
        <v>1</v>
      </c>
      <c r="H20" s="12">
        <v>8</v>
      </c>
      <c r="I20" s="12">
        <v>1</v>
      </c>
      <c r="J20" s="12">
        <f>G20/E20</f>
        <v>0.14285714285714285</v>
      </c>
      <c r="K20" s="12" t="s">
        <v>137</v>
      </c>
      <c r="L20" s="12" t="s">
        <v>161</v>
      </c>
      <c r="M20" s="12" t="s">
        <v>169</v>
      </c>
      <c r="N20" s="12" t="s">
        <v>161</v>
      </c>
      <c r="O20" s="40" t="s">
        <v>41</v>
      </c>
      <c r="P20" s="113"/>
      <c r="Q20" s="81"/>
      <c r="R20" s="81"/>
      <c r="S20" s="81"/>
      <c r="T20" s="81"/>
      <c r="U20" s="40"/>
      <c r="V20" s="113"/>
      <c r="W20" s="81"/>
      <c r="X20" s="81"/>
      <c r="Y20" s="81"/>
      <c r="Z20" s="81"/>
      <c r="AA20" s="40"/>
      <c r="AB20" s="126"/>
      <c r="AC20" s="27" t="s">
        <v>136</v>
      </c>
      <c r="AD20" s="27" t="s">
        <v>168</v>
      </c>
      <c r="AE20" s="27">
        <v>1</v>
      </c>
      <c r="AF20" s="27" t="s">
        <v>140</v>
      </c>
      <c r="AG20" s="54" t="s">
        <v>41</v>
      </c>
      <c r="AH20" s="126"/>
      <c r="AI20" s="81"/>
      <c r="AJ20" s="81"/>
      <c r="AK20" s="81"/>
      <c r="AL20" s="81"/>
      <c r="AM20" s="54"/>
    </row>
    <row r="21" spans="1:39" ht="21" x14ac:dyDescent="0.25">
      <c r="A21" s="113"/>
      <c r="B21" s="12" t="s">
        <v>9</v>
      </c>
      <c r="C21" s="12" t="s">
        <v>121</v>
      </c>
      <c r="D21" s="12" t="s">
        <v>138</v>
      </c>
      <c r="E21" s="12">
        <v>7</v>
      </c>
      <c r="F21" s="12" t="s">
        <v>40</v>
      </c>
      <c r="G21" s="12">
        <v>1</v>
      </c>
      <c r="H21" s="12">
        <v>8</v>
      </c>
      <c r="I21" s="12">
        <v>1</v>
      </c>
      <c r="J21" s="12">
        <f t="shared" ref="J21:J23" si="2">G21/E21</f>
        <v>0.14285714285714285</v>
      </c>
      <c r="K21" s="12" t="s">
        <v>137</v>
      </c>
      <c r="L21" s="12" t="s">
        <v>161</v>
      </c>
      <c r="M21" s="12" t="s">
        <v>169</v>
      </c>
      <c r="N21" s="12" t="s">
        <v>161</v>
      </c>
      <c r="O21" s="40" t="s">
        <v>41</v>
      </c>
      <c r="P21" s="113"/>
      <c r="Q21" s="81"/>
      <c r="R21" s="81"/>
      <c r="S21" s="81"/>
      <c r="T21" s="81"/>
      <c r="U21" s="40"/>
      <c r="V21" s="113"/>
      <c r="W21" s="81"/>
      <c r="X21" s="81"/>
      <c r="Y21" s="81"/>
      <c r="Z21" s="81"/>
      <c r="AA21" s="40"/>
      <c r="AB21" s="126"/>
      <c r="AC21" s="27" t="s">
        <v>136</v>
      </c>
      <c r="AD21" s="27" t="s">
        <v>168</v>
      </c>
      <c r="AE21" s="27">
        <v>1</v>
      </c>
      <c r="AF21" s="27" t="s">
        <v>140</v>
      </c>
      <c r="AG21" s="54" t="s">
        <v>41</v>
      </c>
      <c r="AH21" s="126"/>
      <c r="AI21" s="81"/>
      <c r="AJ21" s="81"/>
      <c r="AK21" s="81"/>
      <c r="AL21" s="81"/>
      <c r="AM21" s="54"/>
    </row>
    <row r="22" spans="1:39" ht="21" x14ac:dyDescent="0.25">
      <c r="A22" s="113"/>
      <c r="B22" s="12" t="s">
        <v>8</v>
      </c>
      <c r="C22" s="12" t="s">
        <v>122</v>
      </c>
      <c r="D22" s="12" t="s">
        <v>176</v>
      </c>
      <c r="E22" s="12">
        <v>32</v>
      </c>
      <c r="F22" s="12" t="s">
        <v>40</v>
      </c>
      <c r="G22" s="12">
        <v>9</v>
      </c>
      <c r="H22" s="12">
        <v>1</v>
      </c>
      <c r="I22" s="12">
        <v>22</v>
      </c>
      <c r="J22" s="12">
        <f t="shared" si="2"/>
        <v>0.28125</v>
      </c>
      <c r="K22" s="12" t="s">
        <v>137</v>
      </c>
      <c r="L22" s="12" t="s">
        <v>161</v>
      </c>
      <c r="M22" s="12" t="s">
        <v>169</v>
      </c>
      <c r="N22" s="12" t="s">
        <v>140</v>
      </c>
      <c r="O22" s="40" t="s">
        <v>41</v>
      </c>
      <c r="P22" s="113"/>
      <c r="Q22" s="81"/>
      <c r="R22" s="81"/>
      <c r="S22" s="81"/>
      <c r="T22" s="81"/>
      <c r="U22" s="40"/>
      <c r="V22" s="113"/>
      <c r="W22" s="81"/>
      <c r="X22" s="81"/>
      <c r="Y22" s="81"/>
      <c r="Z22" s="81"/>
      <c r="AA22" s="40"/>
      <c r="AB22" s="126"/>
      <c r="AC22" s="81"/>
      <c r="AD22" s="81"/>
      <c r="AE22" s="81"/>
      <c r="AF22" s="81"/>
      <c r="AG22" s="54"/>
      <c r="AH22" s="126"/>
      <c r="AI22" s="81"/>
      <c r="AJ22" s="81"/>
      <c r="AK22" s="81"/>
      <c r="AL22" s="81"/>
      <c r="AM22" s="54"/>
    </row>
    <row r="23" spans="1:39" ht="21" x14ac:dyDescent="0.25">
      <c r="A23" s="44"/>
      <c r="B23" s="12" t="s">
        <v>9</v>
      </c>
      <c r="C23" s="12" t="s">
        <v>122</v>
      </c>
      <c r="D23" s="12" t="s">
        <v>176</v>
      </c>
      <c r="E23" s="12">
        <v>32</v>
      </c>
      <c r="F23" s="12" t="s">
        <v>40</v>
      </c>
      <c r="G23" s="12">
        <v>9</v>
      </c>
      <c r="H23" s="12">
        <v>1</v>
      </c>
      <c r="I23" s="12">
        <v>22</v>
      </c>
      <c r="J23" s="12">
        <f t="shared" si="2"/>
        <v>0.28125</v>
      </c>
      <c r="K23" s="12" t="s">
        <v>137</v>
      </c>
      <c r="L23" s="12" t="s">
        <v>161</v>
      </c>
      <c r="M23" s="12" t="s">
        <v>137</v>
      </c>
      <c r="N23" s="12" t="s">
        <v>140</v>
      </c>
      <c r="O23" s="40" t="s">
        <v>41</v>
      </c>
      <c r="P23" s="44"/>
      <c r="Q23" s="81"/>
      <c r="R23" s="81"/>
      <c r="S23" s="81"/>
      <c r="T23" s="81"/>
      <c r="U23" s="40"/>
      <c r="V23" s="44"/>
      <c r="W23" s="81"/>
      <c r="X23" s="81"/>
      <c r="Y23" s="81"/>
      <c r="Z23" s="81"/>
      <c r="AA23" s="40"/>
      <c r="AB23" s="55"/>
      <c r="AC23" s="81"/>
      <c r="AD23" s="81"/>
      <c r="AE23" s="81"/>
      <c r="AF23" s="81"/>
      <c r="AG23" s="54"/>
      <c r="AH23" s="55"/>
      <c r="AI23" s="81"/>
      <c r="AJ23" s="81"/>
      <c r="AK23" s="81"/>
      <c r="AL23" s="81"/>
      <c r="AM23" s="54"/>
    </row>
    <row r="24" spans="1:39" ht="21" x14ac:dyDescent="0.25">
      <c r="A24" s="29"/>
      <c r="B24" s="27" t="s">
        <v>8</v>
      </c>
      <c r="C24" s="27" t="s">
        <v>123</v>
      </c>
      <c r="D24" s="12" t="s">
        <v>138</v>
      </c>
      <c r="E24" s="27">
        <v>81</v>
      </c>
      <c r="F24" s="12" t="s">
        <v>40</v>
      </c>
      <c r="G24" s="27">
        <v>81</v>
      </c>
      <c r="H24" s="27">
        <v>0</v>
      </c>
      <c r="I24" s="27">
        <v>0</v>
      </c>
      <c r="J24" s="27">
        <f>G24/E24</f>
        <v>1</v>
      </c>
      <c r="K24" s="27" t="s">
        <v>136</v>
      </c>
      <c r="L24" s="27" t="s">
        <v>158</v>
      </c>
      <c r="M24" s="27" t="s">
        <v>137</v>
      </c>
      <c r="N24" s="27" t="s">
        <v>140</v>
      </c>
      <c r="O24" s="54" t="s">
        <v>39</v>
      </c>
      <c r="P24" s="29"/>
      <c r="Q24" s="12" t="s">
        <v>173</v>
      </c>
      <c r="R24" s="12" t="s">
        <v>136</v>
      </c>
      <c r="S24" s="12">
        <v>1</v>
      </c>
      <c r="T24" s="12" t="s">
        <v>140</v>
      </c>
      <c r="U24" s="40" t="s">
        <v>39</v>
      </c>
      <c r="V24" s="29"/>
      <c r="W24" s="81"/>
      <c r="X24" s="81"/>
      <c r="Y24" s="81"/>
      <c r="Z24" s="81"/>
      <c r="AA24" s="40"/>
      <c r="AB24" s="56"/>
      <c r="AC24" s="81"/>
      <c r="AD24" s="81"/>
      <c r="AE24" s="81"/>
      <c r="AF24" s="81"/>
      <c r="AG24" s="54"/>
      <c r="AH24" s="56"/>
      <c r="AI24" s="81"/>
      <c r="AJ24" s="81"/>
      <c r="AK24" s="81"/>
      <c r="AL24" s="81"/>
      <c r="AM24" s="54"/>
    </row>
    <row r="25" spans="1:39" ht="21" x14ac:dyDescent="0.25">
      <c r="A25" s="29"/>
      <c r="B25" s="27" t="s">
        <v>9</v>
      </c>
      <c r="C25" s="27" t="s">
        <v>123</v>
      </c>
      <c r="D25" s="12" t="s">
        <v>138</v>
      </c>
      <c r="E25" s="27">
        <v>81</v>
      </c>
      <c r="F25" s="12" t="s">
        <v>40</v>
      </c>
      <c r="G25" s="27">
        <v>81</v>
      </c>
      <c r="H25" s="27">
        <v>0</v>
      </c>
      <c r="I25" s="27">
        <v>0</v>
      </c>
      <c r="J25" s="27">
        <f t="shared" ref="J25:J26" si="3">G25/E25</f>
        <v>1</v>
      </c>
      <c r="K25" s="27" t="s">
        <v>136</v>
      </c>
      <c r="L25" s="27" t="s">
        <v>158</v>
      </c>
      <c r="M25" s="27" t="s">
        <v>137</v>
      </c>
      <c r="N25" s="27" t="s">
        <v>140</v>
      </c>
      <c r="O25" s="54" t="s">
        <v>39</v>
      </c>
      <c r="P25" s="29"/>
      <c r="Q25" s="12" t="s">
        <v>173</v>
      </c>
      <c r="R25" s="12" t="s">
        <v>136</v>
      </c>
      <c r="S25" s="12">
        <v>1</v>
      </c>
      <c r="T25" s="12" t="s">
        <v>140</v>
      </c>
      <c r="U25" s="40" t="s">
        <v>39</v>
      </c>
      <c r="V25" s="29"/>
      <c r="W25" s="81"/>
      <c r="X25" s="81"/>
      <c r="Y25" s="81"/>
      <c r="Z25" s="81"/>
      <c r="AA25" s="40"/>
      <c r="AB25" s="56"/>
      <c r="AC25" s="81"/>
      <c r="AD25" s="81"/>
      <c r="AE25" s="81"/>
      <c r="AF25" s="81"/>
      <c r="AG25" s="54"/>
      <c r="AH25" s="56"/>
      <c r="AI25" s="81"/>
      <c r="AJ25" s="81"/>
      <c r="AK25" s="81"/>
      <c r="AL25" s="81"/>
      <c r="AM25" s="54"/>
    </row>
    <row r="26" spans="1:39" ht="21" x14ac:dyDescent="0.25">
      <c r="A26" s="29"/>
      <c r="B26" s="12" t="s">
        <v>8</v>
      </c>
      <c r="C26" s="12" t="s">
        <v>124</v>
      </c>
      <c r="D26" s="12" t="s">
        <v>138</v>
      </c>
      <c r="E26" s="12">
        <v>7</v>
      </c>
      <c r="F26" s="12" t="s">
        <v>40</v>
      </c>
      <c r="G26" s="12">
        <v>5</v>
      </c>
      <c r="H26" s="12">
        <v>1</v>
      </c>
      <c r="I26" s="12">
        <v>0</v>
      </c>
      <c r="J26" s="12">
        <f t="shared" si="3"/>
        <v>0.7142857142857143</v>
      </c>
      <c r="K26" s="12" t="s">
        <v>136</v>
      </c>
      <c r="L26" s="12" t="s">
        <v>158</v>
      </c>
      <c r="M26" s="12" t="s">
        <v>169</v>
      </c>
      <c r="N26" s="12" t="s">
        <v>161</v>
      </c>
      <c r="O26" s="40" t="s">
        <v>40</v>
      </c>
      <c r="P26" s="29"/>
      <c r="Q26" s="12" t="s">
        <v>136</v>
      </c>
      <c r="R26" s="12" t="s">
        <v>170</v>
      </c>
      <c r="S26" s="12">
        <v>1</v>
      </c>
      <c r="T26" s="12" t="s">
        <v>140</v>
      </c>
      <c r="U26" s="40" t="s">
        <v>40</v>
      </c>
      <c r="V26" s="29"/>
      <c r="W26" s="81"/>
      <c r="X26" s="81"/>
      <c r="Y26" s="81"/>
      <c r="Z26" s="81"/>
      <c r="AA26" s="40"/>
      <c r="AB26" s="56"/>
      <c r="AC26" s="81"/>
      <c r="AD26" s="81"/>
      <c r="AE26" s="81"/>
      <c r="AF26" s="81"/>
      <c r="AG26" s="54"/>
      <c r="AH26" s="56"/>
      <c r="AI26" s="81"/>
      <c r="AJ26" s="81"/>
      <c r="AK26" s="81"/>
      <c r="AL26" s="81"/>
      <c r="AM26" s="54"/>
    </row>
    <row r="27" spans="1:39" ht="21" x14ac:dyDescent="0.25">
      <c r="A27" s="29"/>
      <c r="B27" s="81" t="s">
        <v>9</v>
      </c>
      <c r="C27" s="81" t="s">
        <v>124</v>
      </c>
      <c r="D27" s="81"/>
      <c r="E27" s="81">
        <v>7</v>
      </c>
      <c r="F27" s="81" t="s">
        <v>40</v>
      </c>
      <c r="G27" s="81"/>
      <c r="H27" s="81"/>
      <c r="I27" s="81"/>
      <c r="J27" s="81"/>
      <c r="K27" s="81"/>
      <c r="L27" s="81"/>
      <c r="M27" s="81"/>
      <c r="N27" s="81"/>
      <c r="O27" s="40"/>
      <c r="P27" s="29"/>
      <c r="Q27" s="81"/>
      <c r="R27" s="81"/>
      <c r="S27" s="81"/>
      <c r="T27" s="81"/>
      <c r="U27" s="40"/>
      <c r="V27" s="29"/>
      <c r="W27" s="81"/>
      <c r="X27" s="81"/>
      <c r="Y27" s="81"/>
      <c r="Z27" s="81"/>
      <c r="AA27" s="40"/>
      <c r="AB27" s="56"/>
      <c r="AC27" s="81"/>
      <c r="AD27" s="81"/>
      <c r="AE27" s="81"/>
      <c r="AF27" s="81"/>
      <c r="AG27" s="54"/>
      <c r="AH27" s="56"/>
      <c r="AI27" s="81"/>
      <c r="AJ27" s="81"/>
      <c r="AK27" s="81"/>
      <c r="AL27" s="81"/>
      <c r="AM27" s="54"/>
    </row>
    <row r="28" spans="1:39" ht="21" x14ac:dyDescent="0.25">
      <c r="A28" s="29"/>
      <c r="B28" s="12" t="s">
        <v>8</v>
      </c>
      <c r="C28" s="12" t="s">
        <v>125</v>
      </c>
      <c r="D28" s="12" t="s">
        <v>138</v>
      </c>
      <c r="E28" s="12">
        <v>16</v>
      </c>
      <c r="F28" s="12" t="s">
        <v>40</v>
      </c>
      <c r="G28" s="12">
        <v>8</v>
      </c>
      <c r="H28" s="12">
        <v>4</v>
      </c>
      <c r="I28" s="12">
        <v>4</v>
      </c>
      <c r="J28" s="12">
        <f t="shared" ref="J28:J45" si="4">G28/E28</f>
        <v>0.5</v>
      </c>
      <c r="K28" s="12" t="s">
        <v>137</v>
      </c>
      <c r="L28" s="12" t="s">
        <v>161</v>
      </c>
      <c r="M28" s="12" t="s">
        <v>169</v>
      </c>
      <c r="N28" s="12" t="s">
        <v>161</v>
      </c>
      <c r="O28" s="40" t="s">
        <v>41</v>
      </c>
      <c r="P28" s="29"/>
      <c r="Q28" s="81"/>
      <c r="R28" s="81"/>
      <c r="S28" s="81"/>
      <c r="T28" s="81"/>
      <c r="U28" s="40"/>
      <c r="V28" s="29"/>
      <c r="W28" s="81"/>
      <c r="X28" s="81"/>
      <c r="Y28" s="81"/>
      <c r="Z28" s="81"/>
      <c r="AA28" s="40"/>
      <c r="AB28" s="56"/>
      <c r="AC28" s="12" t="s">
        <v>136</v>
      </c>
      <c r="AD28" s="12" t="s">
        <v>168</v>
      </c>
      <c r="AE28" s="27">
        <v>1</v>
      </c>
      <c r="AF28" s="27" t="s">
        <v>140</v>
      </c>
      <c r="AG28" s="54" t="s">
        <v>41</v>
      </c>
      <c r="AH28" s="56"/>
      <c r="AI28" s="81"/>
      <c r="AJ28" s="81"/>
      <c r="AK28" s="81"/>
      <c r="AL28" s="81"/>
      <c r="AM28" s="54"/>
    </row>
    <row r="29" spans="1:39" ht="21" x14ac:dyDescent="0.25">
      <c r="A29" s="29"/>
      <c r="B29" s="12" t="s">
        <v>9</v>
      </c>
      <c r="C29" s="12" t="s">
        <v>125</v>
      </c>
      <c r="D29" s="12" t="s">
        <v>138</v>
      </c>
      <c r="E29" s="12">
        <v>16</v>
      </c>
      <c r="F29" s="12" t="s">
        <v>40</v>
      </c>
      <c r="G29" s="12">
        <v>8</v>
      </c>
      <c r="H29" s="12">
        <v>4</v>
      </c>
      <c r="I29" s="12">
        <v>4</v>
      </c>
      <c r="J29" s="12">
        <f t="shared" si="4"/>
        <v>0.5</v>
      </c>
      <c r="K29" s="12" t="s">
        <v>137</v>
      </c>
      <c r="L29" s="12" t="s">
        <v>161</v>
      </c>
      <c r="M29" s="12" t="s">
        <v>169</v>
      </c>
      <c r="N29" s="12" t="s">
        <v>161</v>
      </c>
      <c r="O29" s="40" t="s">
        <v>41</v>
      </c>
      <c r="P29" s="29"/>
      <c r="Q29" s="81"/>
      <c r="R29" s="81"/>
      <c r="S29" s="81"/>
      <c r="T29" s="81"/>
      <c r="U29" s="40"/>
      <c r="V29" s="29"/>
      <c r="W29" s="81"/>
      <c r="X29" s="81"/>
      <c r="Y29" s="81"/>
      <c r="Z29" s="81"/>
      <c r="AA29" s="40"/>
      <c r="AB29" s="56"/>
      <c r="AC29" s="12" t="s">
        <v>136</v>
      </c>
      <c r="AD29" s="12" t="s">
        <v>168</v>
      </c>
      <c r="AE29" s="27">
        <v>1</v>
      </c>
      <c r="AF29" s="27" t="s">
        <v>140</v>
      </c>
      <c r="AG29" s="54" t="s">
        <v>41</v>
      </c>
      <c r="AH29" s="56"/>
      <c r="AI29" s="81"/>
      <c r="AJ29" s="81"/>
      <c r="AK29" s="81"/>
      <c r="AL29" s="81"/>
      <c r="AM29" s="54"/>
    </row>
    <row r="30" spans="1:39" ht="21" x14ac:dyDescent="0.25">
      <c r="A30" s="29"/>
      <c r="B30" s="12" t="s">
        <v>8</v>
      </c>
      <c r="C30" s="12" t="s">
        <v>126</v>
      </c>
      <c r="D30" s="12" t="s">
        <v>138</v>
      </c>
      <c r="E30" s="12">
        <v>83</v>
      </c>
      <c r="F30" s="12" t="s">
        <v>40</v>
      </c>
      <c r="G30" s="12">
        <v>3</v>
      </c>
      <c r="H30" s="12" t="s">
        <v>139</v>
      </c>
      <c r="I30" s="12" t="s">
        <v>139</v>
      </c>
      <c r="J30" s="12">
        <f t="shared" si="4"/>
        <v>3.614457831325301E-2</v>
      </c>
      <c r="K30" s="12" t="s">
        <v>137</v>
      </c>
      <c r="L30" s="12" t="s">
        <v>161</v>
      </c>
      <c r="M30" s="12" t="s">
        <v>137</v>
      </c>
      <c r="N30" s="12" t="s">
        <v>140</v>
      </c>
      <c r="O30" s="40" t="s">
        <v>41</v>
      </c>
      <c r="P30" s="29"/>
      <c r="Q30" s="12" t="s">
        <v>136</v>
      </c>
      <c r="R30" s="12" t="s">
        <v>168</v>
      </c>
      <c r="S30" s="12">
        <v>1</v>
      </c>
      <c r="T30" s="12" t="s">
        <v>140</v>
      </c>
      <c r="U30" s="40" t="s">
        <v>41</v>
      </c>
      <c r="V30" s="29"/>
      <c r="W30" s="12" t="s">
        <v>136</v>
      </c>
      <c r="X30" s="12" t="s">
        <v>168</v>
      </c>
      <c r="Y30" s="12">
        <v>1</v>
      </c>
      <c r="Z30" s="12" t="s">
        <v>140</v>
      </c>
      <c r="AA30" s="40" t="s">
        <v>41</v>
      </c>
      <c r="AB30" s="56"/>
      <c r="AC30" s="12" t="s">
        <v>136</v>
      </c>
      <c r="AD30" s="12" t="s">
        <v>168</v>
      </c>
      <c r="AE30" s="12">
        <v>1</v>
      </c>
      <c r="AF30" s="12" t="s">
        <v>140</v>
      </c>
      <c r="AG30" s="40" t="s">
        <v>41</v>
      </c>
      <c r="AH30" s="56"/>
      <c r="AI30" s="81"/>
      <c r="AJ30" s="81"/>
      <c r="AK30" s="81"/>
      <c r="AL30" s="81"/>
      <c r="AM30" s="54"/>
    </row>
    <row r="31" spans="1:39" ht="21" x14ac:dyDescent="0.25">
      <c r="A31" s="29"/>
      <c r="B31" s="12" t="s">
        <v>9</v>
      </c>
      <c r="C31" s="12" t="s">
        <v>126</v>
      </c>
      <c r="D31" s="12" t="s">
        <v>138</v>
      </c>
      <c r="E31" s="12">
        <v>83</v>
      </c>
      <c r="F31" s="12" t="s">
        <v>40</v>
      </c>
      <c r="G31" s="12">
        <v>3</v>
      </c>
      <c r="H31" s="12" t="s">
        <v>139</v>
      </c>
      <c r="I31" s="12" t="s">
        <v>139</v>
      </c>
      <c r="J31" s="12">
        <f t="shared" si="4"/>
        <v>3.614457831325301E-2</v>
      </c>
      <c r="K31" s="12" t="s">
        <v>137</v>
      </c>
      <c r="L31" s="12" t="s">
        <v>161</v>
      </c>
      <c r="M31" s="12" t="s">
        <v>137</v>
      </c>
      <c r="N31" s="12" t="s">
        <v>140</v>
      </c>
      <c r="O31" s="40" t="s">
        <v>41</v>
      </c>
      <c r="P31" s="29"/>
      <c r="Q31" s="12" t="s">
        <v>136</v>
      </c>
      <c r="R31" s="12" t="s">
        <v>168</v>
      </c>
      <c r="S31" s="12">
        <v>1</v>
      </c>
      <c r="T31" s="12" t="s">
        <v>140</v>
      </c>
      <c r="U31" s="40" t="s">
        <v>41</v>
      </c>
      <c r="V31" s="29"/>
      <c r="W31" s="12" t="s">
        <v>136</v>
      </c>
      <c r="X31" s="12" t="s">
        <v>168</v>
      </c>
      <c r="Y31" s="12">
        <v>1</v>
      </c>
      <c r="Z31" s="12" t="s">
        <v>140</v>
      </c>
      <c r="AA31" s="40" t="s">
        <v>41</v>
      </c>
      <c r="AB31" s="56"/>
      <c r="AC31" s="12" t="s">
        <v>136</v>
      </c>
      <c r="AD31" s="12" t="s">
        <v>168</v>
      </c>
      <c r="AE31" s="12">
        <v>1</v>
      </c>
      <c r="AF31" s="12" t="s">
        <v>140</v>
      </c>
      <c r="AG31" s="40" t="s">
        <v>41</v>
      </c>
      <c r="AH31" s="56"/>
      <c r="AI31" s="81"/>
      <c r="AJ31" s="81"/>
      <c r="AK31" s="81"/>
      <c r="AL31" s="81"/>
      <c r="AM31" s="54"/>
    </row>
    <row r="32" spans="1:39" ht="21" x14ac:dyDescent="0.25">
      <c r="A32" s="29"/>
      <c r="B32" s="12" t="s">
        <v>8</v>
      </c>
      <c r="C32" s="12" t="s">
        <v>127</v>
      </c>
      <c r="D32" s="12" t="s">
        <v>138</v>
      </c>
      <c r="E32" s="12">
        <v>11</v>
      </c>
      <c r="F32" s="12" t="s">
        <v>40</v>
      </c>
      <c r="G32" s="12">
        <v>4</v>
      </c>
      <c r="H32" s="12">
        <v>5</v>
      </c>
      <c r="I32" s="12">
        <v>2</v>
      </c>
      <c r="J32" s="12">
        <f t="shared" si="4"/>
        <v>0.36363636363636365</v>
      </c>
      <c r="K32" s="12" t="s">
        <v>136</v>
      </c>
      <c r="L32" s="12" t="s">
        <v>158</v>
      </c>
      <c r="M32" s="12" t="s">
        <v>136</v>
      </c>
      <c r="N32" s="12" t="s">
        <v>161</v>
      </c>
      <c r="O32" s="40" t="s">
        <v>40</v>
      </c>
      <c r="P32" s="29"/>
      <c r="Q32" s="81"/>
      <c r="R32" s="81"/>
      <c r="S32" s="81"/>
      <c r="T32" s="81"/>
      <c r="U32" s="40"/>
      <c r="V32" s="29"/>
      <c r="W32" s="12" t="s">
        <v>136</v>
      </c>
      <c r="X32" s="12" t="s">
        <v>168</v>
      </c>
      <c r="Y32" s="12">
        <v>1</v>
      </c>
      <c r="Z32" s="12" t="s">
        <v>140</v>
      </c>
      <c r="AA32" s="40" t="s">
        <v>40</v>
      </c>
      <c r="AB32" s="56"/>
      <c r="AC32" s="81"/>
      <c r="AD32" s="81"/>
      <c r="AE32" s="81"/>
      <c r="AF32" s="81"/>
      <c r="AG32" s="54"/>
      <c r="AH32" s="56"/>
      <c r="AI32" s="81"/>
      <c r="AJ32" s="81"/>
      <c r="AK32" s="81"/>
      <c r="AL32" s="81"/>
      <c r="AM32" s="54"/>
    </row>
    <row r="33" spans="1:39" ht="21" x14ac:dyDescent="0.25">
      <c r="A33" s="29"/>
      <c r="B33" s="12" t="s">
        <v>9</v>
      </c>
      <c r="C33" s="12" t="s">
        <v>127</v>
      </c>
      <c r="D33" s="12" t="s">
        <v>138</v>
      </c>
      <c r="E33" s="12">
        <v>11</v>
      </c>
      <c r="F33" s="12" t="s">
        <v>40</v>
      </c>
      <c r="G33" s="12">
        <v>4</v>
      </c>
      <c r="H33" s="12">
        <v>5</v>
      </c>
      <c r="I33" s="12">
        <v>2</v>
      </c>
      <c r="J33" s="12">
        <f t="shared" si="4"/>
        <v>0.36363636363636365</v>
      </c>
      <c r="K33" s="12" t="s">
        <v>136</v>
      </c>
      <c r="L33" s="12" t="s">
        <v>158</v>
      </c>
      <c r="M33" s="12" t="s">
        <v>136</v>
      </c>
      <c r="N33" s="12" t="s">
        <v>161</v>
      </c>
      <c r="O33" s="40" t="s">
        <v>40</v>
      </c>
      <c r="P33" s="29"/>
      <c r="Q33" s="81"/>
      <c r="R33" s="81"/>
      <c r="S33" s="81"/>
      <c r="T33" s="81"/>
      <c r="U33" s="40"/>
      <c r="V33" s="29"/>
      <c r="W33" s="12" t="s">
        <v>136</v>
      </c>
      <c r="X33" s="12" t="s">
        <v>168</v>
      </c>
      <c r="Y33" s="12">
        <v>1</v>
      </c>
      <c r="Z33" s="12" t="s">
        <v>140</v>
      </c>
      <c r="AA33" s="40" t="s">
        <v>40</v>
      </c>
      <c r="AB33" s="56"/>
      <c r="AC33" s="81"/>
      <c r="AD33" s="81"/>
      <c r="AE33" s="81"/>
      <c r="AF33" s="81"/>
      <c r="AG33" s="54"/>
      <c r="AH33" s="56"/>
      <c r="AI33" s="81"/>
      <c r="AJ33" s="81"/>
      <c r="AK33" s="81"/>
      <c r="AL33" s="81"/>
      <c r="AM33" s="54"/>
    </row>
    <row r="34" spans="1:39" ht="21" x14ac:dyDescent="0.25">
      <c r="A34" s="29"/>
      <c r="B34" s="12" t="s">
        <v>8</v>
      </c>
      <c r="C34" s="12" t="s">
        <v>128</v>
      </c>
      <c r="D34" s="12" t="s">
        <v>138</v>
      </c>
      <c r="E34" s="12">
        <v>11</v>
      </c>
      <c r="F34" s="12" t="s">
        <v>40</v>
      </c>
      <c r="G34" s="12">
        <v>1</v>
      </c>
      <c r="H34" s="12">
        <v>4</v>
      </c>
      <c r="I34" s="12">
        <v>6</v>
      </c>
      <c r="J34" s="12">
        <f t="shared" si="4"/>
        <v>9.0909090909090912E-2</v>
      </c>
      <c r="K34" s="12" t="s">
        <v>137</v>
      </c>
      <c r="L34" s="12" t="s">
        <v>161</v>
      </c>
      <c r="M34" s="12" t="s">
        <v>137</v>
      </c>
      <c r="N34" s="12" t="s">
        <v>140</v>
      </c>
      <c r="O34" s="40" t="s">
        <v>41</v>
      </c>
      <c r="P34" s="29"/>
      <c r="Q34" s="81"/>
      <c r="R34" s="81"/>
      <c r="S34" s="81"/>
      <c r="T34" s="81"/>
      <c r="U34" s="40"/>
      <c r="V34" s="29"/>
      <c r="W34" s="81"/>
      <c r="X34" s="81"/>
      <c r="Y34" s="81"/>
      <c r="Z34" s="81"/>
      <c r="AA34" s="40"/>
      <c r="AB34" s="56"/>
      <c r="AC34" s="81"/>
      <c r="AD34" s="81"/>
      <c r="AE34" s="81"/>
      <c r="AF34" s="81"/>
      <c r="AG34" s="54"/>
      <c r="AH34" s="56"/>
      <c r="AI34" s="27" t="s">
        <v>136</v>
      </c>
      <c r="AJ34" s="27" t="s">
        <v>170</v>
      </c>
      <c r="AK34" s="27">
        <v>1</v>
      </c>
      <c r="AL34" s="27" t="s">
        <v>140</v>
      </c>
      <c r="AM34" s="54" t="s">
        <v>41</v>
      </c>
    </row>
    <row r="35" spans="1:39" ht="21" x14ac:dyDescent="0.25">
      <c r="A35" s="29"/>
      <c r="B35" s="12" t="s">
        <v>9</v>
      </c>
      <c r="C35" s="12" t="s">
        <v>128</v>
      </c>
      <c r="D35" s="12" t="s">
        <v>138</v>
      </c>
      <c r="E35" s="12">
        <v>11</v>
      </c>
      <c r="F35" s="12" t="s">
        <v>40</v>
      </c>
      <c r="G35" s="12">
        <v>1</v>
      </c>
      <c r="H35" s="12">
        <v>4</v>
      </c>
      <c r="I35" s="12">
        <v>6</v>
      </c>
      <c r="J35" s="12">
        <f t="shared" si="4"/>
        <v>9.0909090909090912E-2</v>
      </c>
      <c r="K35" s="12" t="s">
        <v>137</v>
      </c>
      <c r="L35" s="12" t="s">
        <v>161</v>
      </c>
      <c r="M35" s="12" t="s">
        <v>137</v>
      </c>
      <c r="N35" s="12" t="s">
        <v>140</v>
      </c>
      <c r="O35" s="40" t="s">
        <v>41</v>
      </c>
      <c r="P35" s="29"/>
      <c r="Q35" s="81"/>
      <c r="R35" s="81"/>
      <c r="S35" s="81"/>
      <c r="T35" s="81"/>
      <c r="U35" s="40"/>
      <c r="V35" s="29"/>
      <c r="W35" s="81"/>
      <c r="X35" s="81"/>
      <c r="Y35" s="81"/>
      <c r="Z35" s="81"/>
      <c r="AA35" s="40"/>
      <c r="AB35" s="56"/>
      <c r="AC35" s="81"/>
      <c r="AD35" s="81"/>
      <c r="AE35" s="81"/>
      <c r="AF35" s="81"/>
      <c r="AG35" s="54"/>
      <c r="AH35" s="56"/>
      <c r="AI35" s="27" t="s">
        <v>136</v>
      </c>
      <c r="AJ35" s="27" t="s">
        <v>170</v>
      </c>
      <c r="AK35" s="27">
        <v>1</v>
      </c>
      <c r="AL35" s="27" t="s">
        <v>140</v>
      </c>
      <c r="AM35" s="54" t="s">
        <v>41</v>
      </c>
    </row>
    <row r="36" spans="1:39" ht="21" x14ac:dyDescent="0.25">
      <c r="A36" s="29"/>
      <c r="B36" s="12" t="s">
        <v>8</v>
      </c>
      <c r="C36" s="12" t="s">
        <v>129</v>
      </c>
      <c r="D36" s="12" t="s">
        <v>138</v>
      </c>
      <c r="E36" s="12">
        <v>20</v>
      </c>
      <c r="F36" s="12" t="s">
        <v>40</v>
      </c>
      <c r="G36" s="12">
        <v>16</v>
      </c>
      <c r="H36" s="12">
        <v>4</v>
      </c>
      <c r="I36" s="12">
        <v>0</v>
      </c>
      <c r="J36" s="12">
        <f t="shared" si="4"/>
        <v>0.8</v>
      </c>
      <c r="K36" s="12" t="s">
        <v>136</v>
      </c>
      <c r="L36" s="12" t="s">
        <v>158</v>
      </c>
      <c r="M36" s="12" t="s">
        <v>169</v>
      </c>
      <c r="N36" s="12" t="s">
        <v>161</v>
      </c>
      <c r="O36" s="40" t="s">
        <v>40</v>
      </c>
      <c r="P36" s="29"/>
      <c r="Q36" s="81"/>
      <c r="R36" s="81"/>
      <c r="S36" s="81"/>
      <c r="T36" s="81"/>
      <c r="U36" s="40"/>
      <c r="V36" s="29"/>
      <c r="W36" s="81"/>
      <c r="X36" s="81"/>
      <c r="Y36" s="81"/>
      <c r="Z36" s="81"/>
      <c r="AA36" s="40"/>
      <c r="AB36" s="56"/>
      <c r="AC36" s="27" t="s">
        <v>136</v>
      </c>
      <c r="AD36" s="12" t="s">
        <v>168</v>
      </c>
      <c r="AE36" s="27">
        <v>1</v>
      </c>
      <c r="AF36" s="27" t="s">
        <v>140</v>
      </c>
      <c r="AG36" s="54" t="s">
        <v>40</v>
      </c>
      <c r="AH36" s="56"/>
      <c r="AI36" s="81"/>
      <c r="AJ36" s="81"/>
      <c r="AK36" s="81"/>
      <c r="AL36" s="81"/>
      <c r="AM36" s="54"/>
    </row>
    <row r="37" spans="1:39" ht="21" x14ac:dyDescent="0.25">
      <c r="A37" s="29"/>
      <c r="B37" s="12" t="s">
        <v>9</v>
      </c>
      <c r="C37" s="12" t="s">
        <v>129</v>
      </c>
      <c r="D37" s="12" t="s">
        <v>138</v>
      </c>
      <c r="E37" s="12">
        <v>20</v>
      </c>
      <c r="F37" s="12" t="s">
        <v>40</v>
      </c>
      <c r="G37" s="12">
        <v>16</v>
      </c>
      <c r="H37" s="12">
        <v>4</v>
      </c>
      <c r="I37" s="12">
        <v>0</v>
      </c>
      <c r="J37" s="12">
        <f t="shared" si="4"/>
        <v>0.8</v>
      </c>
      <c r="K37" s="12" t="s">
        <v>136</v>
      </c>
      <c r="L37" s="12" t="s">
        <v>158</v>
      </c>
      <c r="M37" s="12" t="s">
        <v>169</v>
      </c>
      <c r="N37" s="12" t="s">
        <v>161</v>
      </c>
      <c r="O37" s="40" t="s">
        <v>40</v>
      </c>
      <c r="P37" s="29"/>
      <c r="Q37" s="81"/>
      <c r="R37" s="81"/>
      <c r="S37" s="81"/>
      <c r="T37" s="81"/>
      <c r="U37" s="40"/>
      <c r="V37" s="29"/>
      <c r="W37" s="81"/>
      <c r="X37" s="81"/>
      <c r="Y37" s="81"/>
      <c r="Z37" s="81"/>
      <c r="AA37" s="40"/>
      <c r="AB37" s="56"/>
      <c r="AC37" s="27" t="s">
        <v>136</v>
      </c>
      <c r="AD37" s="12" t="s">
        <v>168</v>
      </c>
      <c r="AE37" s="27">
        <v>1</v>
      </c>
      <c r="AF37" s="27" t="s">
        <v>140</v>
      </c>
      <c r="AG37" s="54" t="s">
        <v>40</v>
      </c>
      <c r="AH37" s="56"/>
      <c r="AI37" s="81"/>
      <c r="AJ37" s="81"/>
      <c r="AK37" s="81"/>
      <c r="AL37" s="81"/>
      <c r="AM37" s="54"/>
    </row>
    <row r="38" spans="1:39" ht="21" x14ac:dyDescent="0.25">
      <c r="A38" s="29"/>
      <c r="B38" s="12" t="s">
        <v>8</v>
      </c>
      <c r="C38" s="12" t="s">
        <v>130</v>
      </c>
      <c r="D38" s="12" t="s">
        <v>138</v>
      </c>
      <c r="E38" s="12">
        <v>32</v>
      </c>
      <c r="F38" s="12" t="s">
        <v>40</v>
      </c>
      <c r="G38" s="12">
        <v>13</v>
      </c>
      <c r="H38" s="12">
        <v>15</v>
      </c>
      <c r="I38" s="12">
        <v>4</v>
      </c>
      <c r="J38" s="12">
        <f t="shared" si="4"/>
        <v>0.40625</v>
      </c>
      <c r="K38" s="12" t="s">
        <v>137</v>
      </c>
      <c r="L38" s="12" t="s">
        <v>161</v>
      </c>
      <c r="M38" s="12" t="s">
        <v>136</v>
      </c>
      <c r="N38" s="12" t="s">
        <v>161</v>
      </c>
      <c r="O38" s="40" t="s">
        <v>41</v>
      </c>
      <c r="P38" s="29"/>
      <c r="Q38" s="81"/>
      <c r="R38" s="81"/>
      <c r="S38" s="81"/>
      <c r="T38" s="81"/>
      <c r="U38" s="40"/>
      <c r="V38" s="29"/>
      <c r="W38" s="81"/>
      <c r="X38" s="81"/>
      <c r="Y38" s="81"/>
      <c r="Z38" s="81"/>
      <c r="AA38" s="40"/>
      <c r="AB38" s="56"/>
      <c r="AC38" s="27" t="s">
        <v>136</v>
      </c>
      <c r="AD38" s="12" t="s">
        <v>136</v>
      </c>
      <c r="AE38" s="27">
        <v>2</v>
      </c>
      <c r="AF38" s="27" t="s">
        <v>158</v>
      </c>
      <c r="AG38" s="54" t="s">
        <v>40</v>
      </c>
      <c r="AH38" s="56"/>
      <c r="AI38" s="81"/>
      <c r="AJ38" s="81"/>
      <c r="AK38" s="81"/>
      <c r="AL38" s="81"/>
      <c r="AM38" s="54"/>
    </row>
    <row r="39" spans="1:39" ht="21" x14ac:dyDescent="0.25">
      <c r="A39" s="29"/>
      <c r="B39" s="12" t="s">
        <v>9</v>
      </c>
      <c r="C39" s="12" t="s">
        <v>130</v>
      </c>
      <c r="D39" s="12" t="s">
        <v>138</v>
      </c>
      <c r="E39" s="12">
        <v>32</v>
      </c>
      <c r="F39" s="12" t="s">
        <v>40</v>
      </c>
      <c r="G39" s="12">
        <v>13</v>
      </c>
      <c r="H39" s="12">
        <v>15</v>
      </c>
      <c r="I39" s="12">
        <v>4</v>
      </c>
      <c r="J39" s="12">
        <f t="shared" si="4"/>
        <v>0.40625</v>
      </c>
      <c r="K39" s="12" t="s">
        <v>137</v>
      </c>
      <c r="L39" s="12" t="s">
        <v>161</v>
      </c>
      <c r="M39" s="12" t="s">
        <v>136</v>
      </c>
      <c r="N39" s="12" t="s">
        <v>161</v>
      </c>
      <c r="O39" s="40" t="s">
        <v>41</v>
      </c>
      <c r="P39" s="29"/>
      <c r="Q39" s="81"/>
      <c r="R39" s="81"/>
      <c r="S39" s="81"/>
      <c r="T39" s="81"/>
      <c r="U39" s="40"/>
      <c r="V39" s="29"/>
      <c r="W39" s="81"/>
      <c r="X39" s="81"/>
      <c r="Y39" s="81"/>
      <c r="Z39" s="81"/>
      <c r="AA39" s="40"/>
      <c r="AB39" s="56"/>
      <c r="AC39" s="27" t="s">
        <v>136</v>
      </c>
      <c r="AD39" s="12" t="s">
        <v>136</v>
      </c>
      <c r="AE39" s="27">
        <v>2</v>
      </c>
      <c r="AF39" s="27" t="s">
        <v>158</v>
      </c>
      <c r="AG39" s="54" t="s">
        <v>40</v>
      </c>
      <c r="AH39" s="56"/>
      <c r="AI39" s="81"/>
      <c r="AJ39" s="81"/>
      <c r="AK39" s="81"/>
      <c r="AL39" s="81"/>
      <c r="AM39" s="54"/>
    </row>
    <row r="40" spans="1:39" ht="21" x14ac:dyDescent="0.25">
      <c r="A40" s="29"/>
      <c r="B40" s="12" t="s">
        <v>8</v>
      </c>
      <c r="C40" s="12" t="s">
        <v>131</v>
      </c>
      <c r="D40" s="12" t="s">
        <v>138</v>
      </c>
      <c r="E40" s="12">
        <v>12</v>
      </c>
      <c r="F40" s="12" t="s">
        <v>40</v>
      </c>
      <c r="G40" s="12">
        <v>10</v>
      </c>
      <c r="H40" s="12">
        <v>2</v>
      </c>
      <c r="I40" s="12">
        <v>0</v>
      </c>
      <c r="J40" s="12">
        <f t="shared" si="4"/>
        <v>0.83333333333333337</v>
      </c>
      <c r="K40" s="12" t="s">
        <v>136</v>
      </c>
      <c r="L40" s="12" t="s">
        <v>158</v>
      </c>
      <c r="M40" s="12" t="s">
        <v>136</v>
      </c>
      <c r="N40" s="12" t="s">
        <v>161</v>
      </c>
      <c r="O40" s="40" t="s">
        <v>40</v>
      </c>
      <c r="P40" s="29"/>
      <c r="Q40" s="12" t="s">
        <v>136</v>
      </c>
      <c r="R40" s="12" t="s">
        <v>170</v>
      </c>
      <c r="S40" s="12">
        <v>1</v>
      </c>
      <c r="T40" s="12" t="s">
        <v>140</v>
      </c>
      <c r="U40" s="40" t="s">
        <v>40</v>
      </c>
      <c r="V40" s="29"/>
      <c r="W40" s="81"/>
      <c r="X40" s="81"/>
      <c r="Y40" s="81"/>
      <c r="Z40" s="81"/>
      <c r="AA40" s="40"/>
      <c r="AB40" s="56"/>
      <c r="AC40" s="81"/>
      <c r="AD40" s="81"/>
      <c r="AE40" s="81"/>
      <c r="AF40" s="81"/>
      <c r="AG40" s="54"/>
      <c r="AH40" s="56"/>
      <c r="AI40" s="81"/>
      <c r="AJ40" s="81"/>
      <c r="AK40" s="81"/>
      <c r="AL40" s="81"/>
      <c r="AM40" s="54"/>
    </row>
    <row r="41" spans="1:39" ht="21" x14ac:dyDescent="0.25">
      <c r="A41" s="29"/>
      <c r="B41" s="12" t="s">
        <v>8</v>
      </c>
      <c r="C41" s="12" t="s">
        <v>131</v>
      </c>
      <c r="D41" s="12" t="s">
        <v>138</v>
      </c>
      <c r="E41" s="12">
        <v>12</v>
      </c>
      <c r="F41" s="12" t="s">
        <v>40</v>
      </c>
      <c r="G41" s="12">
        <v>10</v>
      </c>
      <c r="H41" s="12">
        <v>2</v>
      </c>
      <c r="I41" s="12">
        <v>0</v>
      </c>
      <c r="J41" s="12">
        <f t="shared" si="4"/>
        <v>0.83333333333333337</v>
      </c>
      <c r="K41" s="12" t="s">
        <v>136</v>
      </c>
      <c r="L41" s="12" t="s">
        <v>158</v>
      </c>
      <c r="M41" s="12" t="s">
        <v>136</v>
      </c>
      <c r="N41" s="12" t="s">
        <v>161</v>
      </c>
      <c r="O41" s="40" t="s">
        <v>40</v>
      </c>
      <c r="P41" s="29"/>
      <c r="Q41" s="12" t="s">
        <v>136</v>
      </c>
      <c r="R41" s="12" t="s">
        <v>170</v>
      </c>
      <c r="S41" s="12">
        <v>1</v>
      </c>
      <c r="T41" s="12" t="s">
        <v>140</v>
      </c>
      <c r="U41" s="40" t="s">
        <v>40</v>
      </c>
      <c r="V41" s="29"/>
      <c r="W41" s="81"/>
      <c r="X41" s="81"/>
      <c r="Y41" s="81"/>
      <c r="Z41" s="81"/>
      <c r="AA41" s="40"/>
      <c r="AB41" s="56"/>
      <c r="AC41" s="81"/>
      <c r="AD41" s="81"/>
      <c r="AE41" s="81"/>
      <c r="AF41" s="81"/>
      <c r="AG41" s="54"/>
      <c r="AH41" s="56"/>
      <c r="AI41" s="81"/>
      <c r="AJ41" s="81"/>
      <c r="AK41" s="81"/>
      <c r="AL41" s="81"/>
      <c r="AM41" s="54"/>
    </row>
    <row r="42" spans="1:39" ht="21" x14ac:dyDescent="0.25">
      <c r="A42" s="29"/>
      <c r="B42" s="12" t="s">
        <v>8</v>
      </c>
      <c r="C42" s="12" t="s">
        <v>132</v>
      </c>
      <c r="D42" s="12" t="s">
        <v>138</v>
      </c>
      <c r="E42" s="12">
        <v>9</v>
      </c>
      <c r="F42" s="12" t="s">
        <v>40</v>
      </c>
      <c r="G42" s="12">
        <v>8</v>
      </c>
      <c r="H42" s="12">
        <v>1</v>
      </c>
      <c r="I42" s="12">
        <v>0</v>
      </c>
      <c r="J42" s="12">
        <f t="shared" si="4"/>
        <v>0.88888888888888884</v>
      </c>
      <c r="K42" s="12" t="s">
        <v>136</v>
      </c>
      <c r="L42" s="12" t="s">
        <v>158</v>
      </c>
      <c r="M42" s="12" t="s">
        <v>136</v>
      </c>
      <c r="N42" s="12" t="s">
        <v>161</v>
      </c>
      <c r="O42" s="40" t="s">
        <v>40</v>
      </c>
      <c r="P42" s="29"/>
      <c r="Q42" s="79"/>
      <c r="R42" s="79"/>
      <c r="S42" s="79"/>
      <c r="T42" s="79"/>
      <c r="U42" s="40"/>
      <c r="V42" s="29"/>
      <c r="W42" s="79"/>
      <c r="X42" s="79"/>
      <c r="Y42" s="79"/>
      <c r="Z42" s="79"/>
      <c r="AA42" s="40"/>
      <c r="AB42" s="56"/>
      <c r="AC42" s="79"/>
      <c r="AD42" s="79"/>
      <c r="AE42" s="79"/>
      <c r="AF42" s="79"/>
      <c r="AG42" s="54"/>
      <c r="AH42" s="56"/>
      <c r="AI42" s="79"/>
      <c r="AJ42" s="79"/>
      <c r="AK42" s="79"/>
      <c r="AL42" s="79"/>
      <c r="AM42" s="54"/>
    </row>
    <row r="43" spans="1:39" ht="21" x14ac:dyDescent="0.25">
      <c r="A43" s="29"/>
      <c r="B43" s="12" t="s">
        <v>9</v>
      </c>
      <c r="C43" s="12" t="s">
        <v>132</v>
      </c>
      <c r="D43" s="12" t="s">
        <v>138</v>
      </c>
      <c r="E43" s="12">
        <v>9</v>
      </c>
      <c r="F43" s="12" t="s">
        <v>40</v>
      </c>
      <c r="G43" s="12">
        <v>8</v>
      </c>
      <c r="H43" s="12">
        <v>1</v>
      </c>
      <c r="I43" s="12">
        <v>0</v>
      </c>
      <c r="J43" s="12">
        <f t="shared" si="4"/>
        <v>0.88888888888888884</v>
      </c>
      <c r="K43" s="12" t="s">
        <v>136</v>
      </c>
      <c r="L43" s="12" t="s">
        <v>158</v>
      </c>
      <c r="M43" s="12" t="s">
        <v>136</v>
      </c>
      <c r="N43" s="12" t="s">
        <v>161</v>
      </c>
      <c r="O43" s="40" t="s">
        <v>40</v>
      </c>
      <c r="P43" s="29"/>
      <c r="Q43" s="79"/>
      <c r="R43" s="79"/>
      <c r="S43" s="79"/>
      <c r="T43" s="79"/>
      <c r="U43" s="40"/>
      <c r="V43" s="29"/>
      <c r="W43" s="79"/>
      <c r="X43" s="79"/>
      <c r="Y43" s="79"/>
      <c r="Z43" s="79"/>
      <c r="AA43" s="40"/>
      <c r="AB43" s="56"/>
      <c r="AC43" s="79"/>
      <c r="AD43" s="79"/>
      <c r="AE43" s="79"/>
      <c r="AF43" s="79"/>
      <c r="AG43" s="54"/>
      <c r="AH43" s="56"/>
      <c r="AI43" s="79"/>
      <c r="AJ43" s="79"/>
      <c r="AK43" s="79"/>
      <c r="AL43" s="79"/>
      <c r="AM43" s="54"/>
    </row>
    <row r="44" spans="1:39" ht="21" x14ac:dyDescent="0.25">
      <c r="A44" s="29"/>
      <c r="B44" s="12" t="s">
        <v>8</v>
      </c>
      <c r="C44" s="12" t="s">
        <v>133</v>
      </c>
      <c r="D44" s="12" t="s">
        <v>138</v>
      </c>
      <c r="E44" s="12">
        <v>39</v>
      </c>
      <c r="F44" s="12" t="s">
        <v>40</v>
      </c>
      <c r="G44" s="12">
        <v>28</v>
      </c>
      <c r="H44" s="12">
        <v>11</v>
      </c>
      <c r="I44" s="12">
        <v>0</v>
      </c>
      <c r="J44" s="12">
        <f t="shared" si="4"/>
        <v>0.71794871794871795</v>
      </c>
      <c r="K44" s="12" t="s">
        <v>136</v>
      </c>
      <c r="L44" s="12" t="s">
        <v>158</v>
      </c>
      <c r="M44" s="12" t="s">
        <v>137</v>
      </c>
      <c r="N44" s="12" t="s">
        <v>140</v>
      </c>
      <c r="O44" s="40" t="s">
        <v>39</v>
      </c>
      <c r="P44" s="29"/>
      <c r="Q44" s="79"/>
      <c r="R44" s="79"/>
      <c r="S44" s="79"/>
      <c r="T44" s="79"/>
      <c r="U44" s="40"/>
      <c r="V44" s="29"/>
      <c r="W44" s="79"/>
      <c r="X44" s="79"/>
      <c r="Y44" s="79"/>
      <c r="Z44" s="79"/>
      <c r="AA44" s="40"/>
      <c r="AB44" s="56"/>
      <c r="AC44" s="80"/>
      <c r="AD44" s="80"/>
      <c r="AE44" s="80"/>
      <c r="AF44" s="80"/>
      <c r="AG44" s="54"/>
      <c r="AH44" s="56"/>
      <c r="AI44" s="80"/>
      <c r="AJ44" s="80"/>
      <c r="AK44" s="80"/>
      <c r="AL44" s="80"/>
      <c r="AM44" s="54"/>
    </row>
    <row r="45" spans="1:39" ht="22" thickBot="1" x14ac:dyDescent="0.3">
      <c r="A45" s="30"/>
      <c r="B45" s="43" t="s">
        <v>9</v>
      </c>
      <c r="C45" s="43" t="s">
        <v>133</v>
      </c>
      <c r="D45" s="43" t="s">
        <v>138</v>
      </c>
      <c r="E45" s="43">
        <v>39</v>
      </c>
      <c r="F45" s="43" t="s">
        <v>40</v>
      </c>
      <c r="G45" s="43">
        <v>28</v>
      </c>
      <c r="H45" s="43">
        <v>11</v>
      </c>
      <c r="I45" s="43">
        <v>0</v>
      </c>
      <c r="J45" s="43">
        <f t="shared" si="4"/>
        <v>0.71794871794871795</v>
      </c>
      <c r="K45" s="43" t="s">
        <v>136</v>
      </c>
      <c r="L45" s="43" t="s">
        <v>158</v>
      </c>
      <c r="M45" s="43" t="s">
        <v>137</v>
      </c>
      <c r="N45" s="43" t="s">
        <v>140</v>
      </c>
      <c r="O45" s="48" t="s">
        <v>39</v>
      </c>
      <c r="P45" s="30"/>
      <c r="Q45" s="83"/>
      <c r="R45" s="83"/>
      <c r="S45" s="83"/>
      <c r="T45" s="83"/>
      <c r="U45" s="48"/>
      <c r="V45" s="30"/>
      <c r="W45" s="83"/>
      <c r="X45" s="83"/>
      <c r="Y45" s="83"/>
      <c r="Z45" s="83"/>
      <c r="AA45" s="48"/>
      <c r="AB45" s="57"/>
      <c r="AC45" s="82"/>
      <c r="AD45" s="82"/>
      <c r="AE45" s="82"/>
      <c r="AF45" s="82"/>
      <c r="AG45" s="58"/>
      <c r="AH45" s="57"/>
      <c r="AI45" s="82"/>
      <c r="AJ45" s="82"/>
      <c r="AK45" s="82"/>
      <c r="AL45" s="82"/>
      <c r="AM45" s="58"/>
    </row>
  </sheetData>
  <mergeCells count="21">
    <mergeCell ref="A1:A3"/>
    <mergeCell ref="G1:J1"/>
    <mergeCell ref="K1:L1"/>
    <mergeCell ref="P1:P3"/>
    <mergeCell ref="S1:T1"/>
    <mergeCell ref="A4:A22"/>
    <mergeCell ref="P4:P22"/>
    <mergeCell ref="V4:V22"/>
    <mergeCell ref="AB4:AB22"/>
    <mergeCell ref="AH4:AH22"/>
    <mergeCell ref="W4:Z7"/>
    <mergeCell ref="Q6:T7"/>
    <mergeCell ref="AI1:AJ1"/>
    <mergeCell ref="AH1:AH3"/>
    <mergeCell ref="AK1:AL1"/>
    <mergeCell ref="Q1:R1"/>
    <mergeCell ref="W1:X1"/>
    <mergeCell ref="V1:V3"/>
    <mergeCell ref="Y1:Z1"/>
    <mergeCell ref="AB1:AB3"/>
    <mergeCell ref="AE1:A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22BD-576F-414D-A1F6-49BFCF75E3E6}">
  <dimension ref="A1:AC45"/>
  <sheetViews>
    <sheetView zoomScale="60" workbookViewId="0">
      <selection activeCell="A24" sqref="A24:XFD25"/>
    </sheetView>
  </sheetViews>
  <sheetFormatPr baseColWidth="10" defaultRowHeight="16" x14ac:dyDescent="0.2"/>
  <cols>
    <col min="16" max="16" width="21.5" customWidth="1"/>
    <col min="23" max="23" width="17.5" customWidth="1"/>
  </cols>
  <sheetData>
    <row r="1" spans="1:29" ht="22" thickBot="1" x14ac:dyDescent="0.3">
      <c r="A1" s="119" t="s">
        <v>101</v>
      </c>
      <c r="B1" s="41"/>
      <c r="C1" s="23" t="s">
        <v>43</v>
      </c>
      <c r="D1" s="23" t="s">
        <v>112</v>
      </c>
      <c r="E1" s="22" t="s">
        <v>107</v>
      </c>
      <c r="F1" s="23" t="s">
        <v>134</v>
      </c>
      <c r="G1" s="117" t="s">
        <v>102</v>
      </c>
      <c r="H1" s="122"/>
      <c r="I1" s="122"/>
      <c r="J1" s="118"/>
      <c r="K1" s="117" t="s">
        <v>101</v>
      </c>
      <c r="L1" s="118"/>
      <c r="M1" s="21" t="s">
        <v>105</v>
      </c>
      <c r="N1" s="36" t="s">
        <v>101</v>
      </c>
      <c r="O1" s="45" t="s">
        <v>152</v>
      </c>
      <c r="P1" s="109" t="s">
        <v>101</v>
      </c>
      <c r="Q1" s="114" t="s">
        <v>104</v>
      </c>
      <c r="R1" s="115"/>
      <c r="S1" s="116"/>
      <c r="T1" s="117" t="s">
        <v>101</v>
      </c>
      <c r="U1" s="118"/>
      <c r="V1" s="45" t="s">
        <v>149</v>
      </c>
      <c r="W1" s="109" t="s">
        <v>101</v>
      </c>
      <c r="X1" s="114" t="s">
        <v>104</v>
      </c>
      <c r="Y1" s="115"/>
      <c r="Z1" s="116"/>
      <c r="AA1" s="117" t="s">
        <v>101</v>
      </c>
      <c r="AB1" s="118"/>
      <c r="AC1" s="45" t="s">
        <v>149</v>
      </c>
    </row>
    <row r="2" spans="1:29" ht="22" thickBot="1" x14ac:dyDescent="0.3">
      <c r="A2" s="120"/>
      <c r="B2" s="12"/>
      <c r="C2" s="12"/>
      <c r="D2" s="12"/>
      <c r="E2" s="12"/>
      <c r="F2" s="12"/>
      <c r="G2" s="31" t="s">
        <v>40</v>
      </c>
      <c r="H2" s="32" t="s">
        <v>39</v>
      </c>
      <c r="I2" s="33" t="s">
        <v>38</v>
      </c>
      <c r="J2" s="28" t="s">
        <v>135</v>
      </c>
      <c r="K2" s="36" t="s">
        <v>141</v>
      </c>
      <c r="L2" s="35" t="s">
        <v>142</v>
      </c>
      <c r="M2" s="21" t="s">
        <v>148</v>
      </c>
      <c r="N2" s="39" t="s">
        <v>142</v>
      </c>
      <c r="O2" s="46"/>
      <c r="P2" s="110"/>
      <c r="Q2" s="21" t="s">
        <v>143</v>
      </c>
      <c r="R2" s="21" t="s">
        <v>144</v>
      </c>
      <c r="S2" s="21" t="s">
        <v>145</v>
      </c>
      <c r="T2" s="35" t="s">
        <v>147</v>
      </c>
      <c r="U2" s="35" t="s">
        <v>142</v>
      </c>
      <c r="V2" s="46"/>
      <c r="W2" s="110"/>
      <c r="X2" s="21" t="s">
        <v>143</v>
      </c>
      <c r="Y2" s="21" t="s">
        <v>144</v>
      </c>
      <c r="Z2" s="21" t="s">
        <v>145</v>
      </c>
      <c r="AA2" s="35" t="s">
        <v>147</v>
      </c>
      <c r="AB2" s="35" t="s">
        <v>142</v>
      </c>
      <c r="AC2" s="46"/>
    </row>
    <row r="3" spans="1:29" ht="22" thickBot="1" x14ac:dyDescent="0.3">
      <c r="A3" s="121"/>
      <c r="B3" s="42" t="s">
        <v>1</v>
      </c>
      <c r="C3" s="4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47"/>
      <c r="P3" s="111"/>
      <c r="Q3" s="12"/>
      <c r="R3" s="12"/>
      <c r="S3" s="12"/>
      <c r="T3" s="12"/>
      <c r="U3" s="12"/>
      <c r="V3" s="47"/>
      <c r="W3" s="111"/>
      <c r="X3" s="12"/>
      <c r="Y3" s="12"/>
      <c r="Z3" s="12"/>
      <c r="AA3" s="12"/>
      <c r="AB3" s="12"/>
      <c r="AC3" s="47"/>
    </row>
    <row r="4" spans="1:29" ht="21" x14ac:dyDescent="0.25">
      <c r="A4" s="112" t="s">
        <v>150</v>
      </c>
      <c r="B4" s="27" t="s">
        <v>8</v>
      </c>
      <c r="C4" s="27" t="s">
        <v>114</v>
      </c>
      <c r="D4" s="27" t="s">
        <v>138</v>
      </c>
      <c r="E4" s="27">
        <v>17</v>
      </c>
      <c r="F4" s="27" t="s">
        <v>40</v>
      </c>
      <c r="G4" s="27">
        <v>8</v>
      </c>
      <c r="H4" s="27">
        <v>3</v>
      </c>
      <c r="I4" s="27">
        <v>0</v>
      </c>
      <c r="J4" s="27">
        <v>0.47059000000000001</v>
      </c>
      <c r="K4" s="27" t="s">
        <v>139</v>
      </c>
      <c r="L4" s="27" t="s">
        <v>161</v>
      </c>
      <c r="M4" s="27" t="s">
        <v>137</v>
      </c>
      <c r="N4" s="27" t="s">
        <v>140</v>
      </c>
      <c r="O4" s="54" t="s">
        <v>41</v>
      </c>
      <c r="P4" s="112" t="s">
        <v>35</v>
      </c>
      <c r="Q4" s="79"/>
      <c r="R4" s="79"/>
      <c r="S4" s="79"/>
      <c r="T4" s="79"/>
      <c r="U4" s="79"/>
      <c r="V4" s="40"/>
      <c r="W4" s="112" t="s">
        <v>34</v>
      </c>
      <c r="X4" s="79"/>
      <c r="Y4" s="79"/>
      <c r="Z4" s="79"/>
      <c r="AA4" s="79"/>
      <c r="AB4" s="79"/>
      <c r="AC4" s="40"/>
    </row>
    <row r="5" spans="1:29" ht="21" x14ac:dyDescent="0.25">
      <c r="A5" s="113"/>
      <c r="B5" s="27" t="s">
        <v>9</v>
      </c>
      <c r="C5" s="27" t="s">
        <v>114</v>
      </c>
      <c r="D5" s="27" t="s">
        <v>138</v>
      </c>
      <c r="E5" s="27">
        <v>17</v>
      </c>
      <c r="F5" s="27" t="s">
        <v>40</v>
      </c>
      <c r="G5" s="27">
        <v>8</v>
      </c>
      <c r="H5" s="27">
        <v>3</v>
      </c>
      <c r="I5" s="27">
        <v>0</v>
      </c>
      <c r="J5" s="27">
        <v>0.47059000000000001</v>
      </c>
      <c r="K5" s="27" t="s">
        <v>139</v>
      </c>
      <c r="L5" s="27" t="s">
        <v>161</v>
      </c>
      <c r="M5" s="27" t="s">
        <v>137</v>
      </c>
      <c r="N5" s="27" t="s">
        <v>140</v>
      </c>
      <c r="O5" s="54" t="s">
        <v>41</v>
      </c>
      <c r="P5" s="113"/>
      <c r="Q5" s="79"/>
      <c r="R5" s="79"/>
      <c r="S5" s="79"/>
      <c r="T5" s="79"/>
      <c r="U5" s="79"/>
      <c r="V5" s="40"/>
      <c r="W5" s="113"/>
      <c r="X5" s="79"/>
      <c r="Y5" s="79"/>
      <c r="Z5" s="79"/>
      <c r="AA5" s="79"/>
      <c r="AB5" s="79"/>
      <c r="AC5" s="40"/>
    </row>
    <row r="6" spans="1:29" ht="21" x14ac:dyDescent="0.25">
      <c r="A6" s="113"/>
      <c r="B6" s="12" t="s">
        <v>8</v>
      </c>
      <c r="C6" s="12" t="s">
        <v>113</v>
      </c>
      <c r="D6" s="12" t="s">
        <v>138</v>
      </c>
      <c r="E6" s="12">
        <v>6</v>
      </c>
      <c r="F6" s="12" t="s">
        <v>40</v>
      </c>
      <c r="G6" s="12">
        <v>5</v>
      </c>
      <c r="H6" s="12">
        <v>1</v>
      </c>
      <c r="I6" s="12">
        <v>0</v>
      </c>
      <c r="J6" s="12">
        <f t="shared" ref="J6:J9" si="0">G6/E6</f>
        <v>0.83333333333333337</v>
      </c>
      <c r="K6" s="12" t="s">
        <v>136</v>
      </c>
      <c r="L6" s="12" t="s">
        <v>158</v>
      </c>
      <c r="M6" s="12" t="s">
        <v>137</v>
      </c>
      <c r="N6" s="12" t="s">
        <v>140</v>
      </c>
      <c r="O6" s="40" t="s">
        <v>39</v>
      </c>
      <c r="P6" s="113"/>
      <c r="Q6" s="12" t="s">
        <v>136</v>
      </c>
      <c r="R6" s="12" t="s">
        <v>166</v>
      </c>
      <c r="S6" s="12" t="s">
        <v>160</v>
      </c>
      <c r="T6" s="12">
        <v>1</v>
      </c>
      <c r="U6" s="12" t="s">
        <v>161</v>
      </c>
      <c r="V6" s="40" t="s">
        <v>40</v>
      </c>
      <c r="W6" s="113"/>
      <c r="X6" s="79"/>
      <c r="Y6" s="79"/>
      <c r="Z6" s="79"/>
      <c r="AA6" s="79"/>
      <c r="AB6" s="79"/>
      <c r="AC6" s="40"/>
    </row>
    <row r="7" spans="1:29" ht="21" x14ac:dyDescent="0.25">
      <c r="A7" s="113"/>
      <c r="B7" s="12" t="s">
        <v>9</v>
      </c>
      <c r="C7" s="12" t="s">
        <v>113</v>
      </c>
      <c r="D7" s="12" t="s">
        <v>138</v>
      </c>
      <c r="E7" s="12">
        <v>6</v>
      </c>
      <c r="F7" s="12" t="s">
        <v>40</v>
      </c>
      <c r="G7" s="12">
        <v>5</v>
      </c>
      <c r="H7" s="12">
        <v>1</v>
      </c>
      <c r="I7" s="12">
        <v>0</v>
      </c>
      <c r="J7" s="12">
        <f t="shared" si="0"/>
        <v>0.83333333333333337</v>
      </c>
      <c r="K7" s="12" t="s">
        <v>136</v>
      </c>
      <c r="L7" s="12" t="s">
        <v>158</v>
      </c>
      <c r="M7" s="12" t="s">
        <v>137</v>
      </c>
      <c r="N7" s="12" t="s">
        <v>140</v>
      </c>
      <c r="O7" s="40" t="s">
        <v>39</v>
      </c>
      <c r="P7" s="113"/>
      <c r="Q7" s="12" t="s">
        <v>136</v>
      </c>
      <c r="R7" s="12" t="s">
        <v>166</v>
      </c>
      <c r="S7" s="12" t="s">
        <v>160</v>
      </c>
      <c r="T7" s="12">
        <v>1</v>
      </c>
      <c r="U7" s="12" t="s">
        <v>161</v>
      </c>
      <c r="V7" s="40" t="s">
        <v>40</v>
      </c>
      <c r="W7" s="113"/>
      <c r="X7" s="79"/>
      <c r="Y7" s="79"/>
      <c r="Z7" s="79"/>
      <c r="AA7" s="79"/>
      <c r="AB7" s="79"/>
      <c r="AC7" s="40"/>
    </row>
    <row r="8" spans="1:29" ht="21" x14ac:dyDescent="0.25">
      <c r="A8" s="113"/>
      <c r="B8" s="12" t="s">
        <v>8</v>
      </c>
      <c r="C8" s="12" t="s">
        <v>115</v>
      </c>
      <c r="D8" s="12" t="s">
        <v>138</v>
      </c>
      <c r="E8" s="12">
        <v>5</v>
      </c>
      <c r="F8" s="12" t="s">
        <v>40</v>
      </c>
      <c r="G8" s="12">
        <v>1</v>
      </c>
      <c r="H8" s="12">
        <v>3</v>
      </c>
      <c r="I8" s="12">
        <v>1</v>
      </c>
      <c r="J8" s="12">
        <f t="shared" si="0"/>
        <v>0.2</v>
      </c>
      <c r="K8" s="12" t="s">
        <v>137</v>
      </c>
      <c r="L8" s="12" t="s">
        <v>161</v>
      </c>
      <c r="M8" s="12" t="s">
        <v>137</v>
      </c>
      <c r="N8" s="12" t="s">
        <v>140</v>
      </c>
      <c r="O8" s="40" t="s">
        <v>41</v>
      </c>
      <c r="P8" s="113"/>
      <c r="Q8" s="79"/>
      <c r="R8" s="79"/>
      <c r="S8" s="79"/>
      <c r="T8" s="79"/>
      <c r="U8" s="79"/>
      <c r="V8" s="40"/>
      <c r="W8" s="113"/>
      <c r="X8" s="79"/>
      <c r="Y8" s="79"/>
      <c r="Z8" s="79"/>
      <c r="AA8" s="79"/>
      <c r="AB8" s="79"/>
      <c r="AC8" s="40"/>
    </row>
    <row r="9" spans="1:29" ht="21" x14ac:dyDescent="0.25">
      <c r="A9" s="113"/>
      <c r="B9" s="12" t="s">
        <v>9</v>
      </c>
      <c r="C9" s="12" t="s">
        <v>115</v>
      </c>
      <c r="D9" s="12" t="s">
        <v>138</v>
      </c>
      <c r="E9" s="12">
        <v>5</v>
      </c>
      <c r="F9" s="12" t="s">
        <v>40</v>
      </c>
      <c r="G9" s="12">
        <v>1</v>
      </c>
      <c r="H9" s="12">
        <v>3</v>
      </c>
      <c r="I9" s="12">
        <v>1</v>
      </c>
      <c r="J9" s="12">
        <f t="shared" si="0"/>
        <v>0.2</v>
      </c>
      <c r="K9" s="12" t="s">
        <v>137</v>
      </c>
      <c r="L9" s="12" t="s">
        <v>161</v>
      </c>
      <c r="M9" s="12" t="s">
        <v>137</v>
      </c>
      <c r="N9" s="12" t="s">
        <v>140</v>
      </c>
      <c r="O9" s="40" t="s">
        <v>41</v>
      </c>
      <c r="P9" s="113"/>
      <c r="Q9" s="79"/>
      <c r="R9" s="79"/>
      <c r="S9" s="79"/>
      <c r="T9" s="79"/>
      <c r="U9" s="79"/>
      <c r="V9" s="40"/>
      <c r="W9" s="113"/>
      <c r="X9" s="79"/>
      <c r="Y9" s="79"/>
      <c r="Z9" s="79"/>
      <c r="AA9" s="79"/>
      <c r="AB9" s="79"/>
      <c r="AC9" s="40"/>
    </row>
    <row r="10" spans="1:29" ht="21" x14ac:dyDescent="0.25">
      <c r="A10" s="113"/>
      <c r="B10" s="27" t="s">
        <v>8</v>
      </c>
      <c r="C10" s="27" t="s">
        <v>116</v>
      </c>
      <c r="D10" s="27" t="s">
        <v>186</v>
      </c>
      <c r="E10" s="27">
        <v>20</v>
      </c>
      <c r="F10" s="27" t="s">
        <v>40</v>
      </c>
      <c r="G10" s="27">
        <v>4</v>
      </c>
      <c r="H10" s="27" t="s">
        <v>169</v>
      </c>
      <c r="I10" s="27" t="s">
        <v>169</v>
      </c>
      <c r="J10" s="27">
        <v>0.2</v>
      </c>
      <c r="K10" s="27" t="s">
        <v>136</v>
      </c>
      <c r="L10" s="27" t="s">
        <v>158</v>
      </c>
      <c r="M10" s="27" t="s">
        <v>169</v>
      </c>
      <c r="N10" s="27" t="s">
        <v>161</v>
      </c>
      <c r="O10" s="54" t="s">
        <v>40</v>
      </c>
      <c r="P10" s="113"/>
      <c r="Q10" s="79"/>
      <c r="R10" s="79"/>
      <c r="S10" s="79"/>
      <c r="T10" s="79"/>
      <c r="U10" s="79"/>
      <c r="V10" s="40"/>
      <c r="W10" s="113"/>
      <c r="X10" s="79"/>
      <c r="Y10" s="79"/>
      <c r="Z10" s="79"/>
      <c r="AA10" s="79"/>
      <c r="AB10" s="79"/>
      <c r="AC10" s="40"/>
    </row>
    <row r="11" spans="1:29" ht="21" x14ac:dyDescent="0.25">
      <c r="A11" s="113"/>
      <c r="B11" s="81" t="s">
        <v>9</v>
      </c>
      <c r="C11" s="81" t="s">
        <v>116</v>
      </c>
      <c r="D11" s="81"/>
      <c r="E11" s="81">
        <v>20</v>
      </c>
      <c r="F11" s="81"/>
      <c r="G11" s="81"/>
      <c r="H11" s="81"/>
      <c r="I11" s="81"/>
      <c r="J11" s="81"/>
      <c r="K11" s="81"/>
      <c r="L11" s="81"/>
      <c r="M11" s="81"/>
      <c r="N11" s="81"/>
      <c r="O11" s="40"/>
      <c r="P11" s="113"/>
      <c r="Q11" s="79"/>
      <c r="R11" s="79"/>
      <c r="S11" s="79"/>
      <c r="T11" s="79"/>
      <c r="U11" s="79"/>
      <c r="V11" s="40"/>
      <c r="W11" s="113"/>
      <c r="X11" s="79"/>
      <c r="Y11" s="79"/>
      <c r="Z11" s="79"/>
      <c r="AA11" s="79"/>
      <c r="AB11" s="79"/>
      <c r="AC11" s="40"/>
    </row>
    <row r="12" spans="1:29" ht="21" x14ac:dyDescent="0.25">
      <c r="A12" s="113"/>
      <c r="B12" s="12" t="s">
        <v>8</v>
      </c>
      <c r="C12" s="12" t="s">
        <v>117</v>
      </c>
      <c r="D12" s="12" t="s">
        <v>138</v>
      </c>
      <c r="E12" s="12">
        <v>8</v>
      </c>
      <c r="F12" s="12" t="s">
        <v>40</v>
      </c>
      <c r="G12" s="12">
        <v>5</v>
      </c>
      <c r="H12" s="12">
        <v>3</v>
      </c>
      <c r="I12" s="12">
        <v>0</v>
      </c>
      <c r="J12" s="12">
        <f>G12/E12</f>
        <v>0.625</v>
      </c>
      <c r="K12" s="12" t="s">
        <v>137</v>
      </c>
      <c r="L12" s="12" t="s">
        <v>158</v>
      </c>
      <c r="M12" s="12" t="s">
        <v>169</v>
      </c>
      <c r="N12" s="12" t="s">
        <v>161</v>
      </c>
      <c r="O12" s="40" t="s">
        <v>40</v>
      </c>
      <c r="P12" s="113"/>
      <c r="Q12" s="79"/>
      <c r="R12" s="79"/>
      <c r="S12" s="79"/>
      <c r="T12" s="79"/>
      <c r="U12" s="79"/>
      <c r="V12" s="40"/>
      <c r="W12" s="113"/>
      <c r="X12" s="12" t="s">
        <v>136</v>
      </c>
      <c r="Y12" s="12" t="s">
        <v>168</v>
      </c>
      <c r="Z12" s="12" t="s">
        <v>172</v>
      </c>
      <c r="AA12" s="12">
        <v>1</v>
      </c>
      <c r="AB12" s="12" t="s">
        <v>161</v>
      </c>
      <c r="AC12" s="40" t="s">
        <v>41</v>
      </c>
    </row>
    <row r="13" spans="1:29" ht="21" x14ac:dyDescent="0.25">
      <c r="A13" s="113"/>
      <c r="B13" s="12" t="s">
        <v>9</v>
      </c>
      <c r="C13" s="12" t="s">
        <v>117</v>
      </c>
      <c r="D13" s="12" t="s">
        <v>138</v>
      </c>
      <c r="E13" s="12">
        <v>8</v>
      </c>
      <c r="F13" s="12" t="s">
        <v>40</v>
      </c>
      <c r="G13" s="12">
        <v>5</v>
      </c>
      <c r="H13" s="12">
        <v>3</v>
      </c>
      <c r="I13" s="12">
        <v>0</v>
      </c>
      <c r="J13" s="12">
        <f t="shared" ref="J13:J17" si="1">G13/E13</f>
        <v>0.625</v>
      </c>
      <c r="K13" s="12" t="s">
        <v>137</v>
      </c>
      <c r="L13" s="12" t="s">
        <v>158</v>
      </c>
      <c r="M13" s="12" t="s">
        <v>169</v>
      </c>
      <c r="N13" s="12" t="s">
        <v>161</v>
      </c>
      <c r="O13" s="40" t="s">
        <v>40</v>
      </c>
      <c r="P13" s="113"/>
      <c r="Q13" s="79"/>
      <c r="R13" s="79"/>
      <c r="S13" s="79"/>
      <c r="T13" s="79"/>
      <c r="U13" s="79"/>
      <c r="V13" s="40"/>
      <c r="W13" s="113"/>
      <c r="X13" s="12" t="s">
        <v>136</v>
      </c>
      <c r="Y13" s="12" t="s">
        <v>168</v>
      </c>
      <c r="Z13" s="12" t="s">
        <v>172</v>
      </c>
      <c r="AA13" s="12">
        <v>1</v>
      </c>
      <c r="AB13" s="12" t="s">
        <v>161</v>
      </c>
      <c r="AC13" s="40" t="s">
        <v>41</v>
      </c>
    </row>
    <row r="14" spans="1:29" ht="21" x14ac:dyDescent="0.25">
      <c r="A14" s="113"/>
      <c r="B14" s="12" t="s">
        <v>8</v>
      </c>
      <c r="C14" s="12" t="s">
        <v>118</v>
      </c>
      <c r="D14" s="12" t="s">
        <v>138</v>
      </c>
      <c r="E14" s="12">
        <v>17</v>
      </c>
      <c r="F14" s="12" t="s">
        <v>40</v>
      </c>
      <c r="G14" s="12">
        <v>6</v>
      </c>
      <c r="H14" s="12">
        <v>9</v>
      </c>
      <c r="I14" s="12">
        <v>2</v>
      </c>
      <c r="J14" s="12">
        <f t="shared" si="1"/>
        <v>0.35294117647058826</v>
      </c>
      <c r="K14" s="12" t="s">
        <v>136</v>
      </c>
      <c r="L14" s="12" t="s">
        <v>161</v>
      </c>
      <c r="M14" s="12" t="s">
        <v>169</v>
      </c>
      <c r="N14" s="12" t="s">
        <v>161</v>
      </c>
      <c r="O14" s="40" t="s">
        <v>41</v>
      </c>
      <c r="P14" s="113"/>
      <c r="Q14" s="79"/>
      <c r="R14" s="79"/>
      <c r="S14" s="79"/>
      <c r="T14" s="79"/>
      <c r="U14" s="79"/>
      <c r="V14" s="40"/>
      <c r="W14" s="113"/>
      <c r="X14" s="79"/>
      <c r="Y14" s="79"/>
      <c r="Z14" s="79"/>
      <c r="AA14" s="79"/>
      <c r="AB14" s="79"/>
      <c r="AC14" s="40"/>
    </row>
    <row r="15" spans="1:29" ht="21" x14ac:dyDescent="0.25">
      <c r="A15" s="113"/>
      <c r="B15" s="12" t="s">
        <v>9</v>
      </c>
      <c r="C15" s="12" t="s">
        <v>118</v>
      </c>
      <c r="D15" s="12" t="s">
        <v>138</v>
      </c>
      <c r="E15" s="12">
        <v>17</v>
      </c>
      <c r="F15" s="12" t="s">
        <v>40</v>
      </c>
      <c r="G15" s="12">
        <v>6</v>
      </c>
      <c r="H15" s="12">
        <v>9</v>
      </c>
      <c r="I15" s="12">
        <v>2</v>
      </c>
      <c r="J15" s="12">
        <f t="shared" si="1"/>
        <v>0.35294117647058826</v>
      </c>
      <c r="K15" s="12" t="s">
        <v>136</v>
      </c>
      <c r="L15" s="12" t="s">
        <v>161</v>
      </c>
      <c r="M15" s="12" t="s">
        <v>169</v>
      </c>
      <c r="N15" s="12" t="s">
        <v>161</v>
      </c>
      <c r="O15" s="40" t="s">
        <v>41</v>
      </c>
      <c r="P15" s="113"/>
      <c r="Q15" s="79"/>
      <c r="R15" s="79"/>
      <c r="S15" s="79"/>
      <c r="T15" s="79"/>
      <c r="U15" s="79"/>
      <c r="V15" s="40"/>
      <c r="W15" s="113"/>
      <c r="X15" s="79"/>
      <c r="Y15" s="79"/>
      <c r="Z15" s="79"/>
      <c r="AA15" s="79"/>
      <c r="AB15" s="79"/>
      <c r="AC15" s="40"/>
    </row>
    <row r="16" spans="1:29" ht="21" x14ac:dyDescent="0.25">
      <c r="A16" s="113"/>
      <c r="B16" s="12" t="s">
        <v>8</v>
      </c>
      <c r="C16" s="12" t="s">
        <v>119</v>
      </c>
      <c r="D16" s="12" t="s">
        <v>138</v>
      </c>
      <c r="E16" s="12">
        <v>11</v>
      </c>
      <c r="F16" s="12" t="s">
        <v>40</v>
      </c>
      <c r="G16" s="12">
        <v>4</v>
      </c>
      <c r="H16" s="12">
        <v>0</v>
      </c>
      <c r="I16" s="12">
        <v>7</v>
      </c>
      <c r="J16" s="12">
        <f t="shared" si="1"/>
        <v>0.36363636363636365</v>
      </c>
      <c r="K16" s="12" t="s">
        <v>137</v>
      </c>
      <c r="L16" s="12" t="s">
        <v>161</v>
      </c>
      <c r="M16" s="12" t="s">
        <v>137</v>
      </c>
      <c r="N16" s="12" t="s">
        <v>140</v>
      </c>
      <c r="O16" s="40" t="s">
        <v>41</v>
      </c>
      <c r="P16" s="113"/>
      <c r="Q16" s="79"/>
      <c r="R16" s="79"/>
      <c r="S16" s="79"/>
      <c r="T16" s="79"/>
      <c r="U16" s="79"/>
      <c r="V16" s="40"/>
      <c r="W16" s="113"/>
      <c r="X16" s="79"/>
      <c r="Y16" s="79"/>
      <c r="Z16" s="79"/>
      <c r="AA16" s="79"/>
      <c r="AB16" s="79"/>
      <c r="AC16" s="40"/>
    </row>
    <row r="17" spans="1:29" ht="21" x14ac:dyDescent="0.25">
      <c r="A17" s="113"/>
      <c r="B17" s="12" t="s">
        <v>9</v>
      </c>
      <c r="C17" s="12" t="s">
        <v>119</v>
      </c>
      <c r="D17" s="12" t="s">
        <v>138</v>
      </c>
      <c r="E17" s="12">
        <v>11</v>
      </c>
      <c r="F17" s="12" t="s">
        <v>40</v>
      </c>
      <c r="G17" s="12">
        <v>4</v>
      </c>
      <c r="H17" s="12">
        <v>0</v>
      </c>
      <c r="I17" s="12">
        <v>7</v>
      </c>
      <c r="J17" s="12">
        <f t="shared" si="1"/>
        <v>0.36363636363636365</v>
      </c>
      <c r="K17" s="12" t="s">
        <v>137</v>
      </c>
      <c r="L17" s="12" t="s">
        <v>161</v>
      </c>
      <c r="M17" s="12" t="s">
        <v>137</v>
      </c>
      <c r="N17" s="12" t="s">
        <v>140</v>
      </c>
      <c r="O17" s="40" t="s">
        <v>41</v>
      </c>
      <c r="P17" s="113"/>
      <c r="Q17" s="79"/>
      <c r="R17" s="79"/>
      <c r="S17" s="79"/>
      <c r="T17" s="79"/>
      <c r="U17" s="79"/>
      <c r="V17" s="40"/>
      <c r="W17" s="113"/>
      <c r="X17" s="79"/>
      <c r="Y17" s="79"/>
      <c r="Z17" s="79"/>
      <c r="AA17" s="79"/>
      <c r="AB17" s="79"/>
      <c r="AC17" s="40"/>
    </row>
    <row r="18" spans="1:29" ht="21" x14ac:dyDescent="0.25">
      <c r="A18" s="113"/>
      <c r="B18" s="27" t="s">
        <v>8</v>
      </c>
      <c r="C18" s="27" t="s">
        <v>120</v>
      </c>
      <c r="D18" s="27" t="s">
        <v>138</v>
      </c>
      <c r="E18" s="27">
        <v>57</v>
      </c>
      <c r="F18" s="27" t="s">
        <v>40</v>
      </c>
      <c r="G18" s="27">
        <v>40</v>
      </c>
      <c r="H18" s="27">
        <v>9</v>
      </c>
      <c r="I18" s="27">
        <v>0</v>
      </c>
      <c r="J18" s="27">
        <v>0.70175438599999995</v>
      </c>
      <c r="K18" s="27" t="s">
        <v>136</v>
      </c>
      <c r="L18" s="27" t="s">
        <v>158</v>
      </c>
      <c r="M18" s="27" t="s">
        <v>136</v>
      </c>
      <c r="N18" s="27" t="s">
        <v>161</v>
      </c>
      <c r="O18" s="54" t="s">
        <v>40</v>
      </c>
      <c r="P18" s="113"/>
      <c r="Q18" s="79"/>
      <c r="R18" s="79"/>
      <c r="S18" s="79"/>
      <c r="T18" s="79"/>
      <c r="U18" s="79"/>
      <c r="V18" s="40"/>
      <c r="W18" s="113"/>
      <c r="X18" s="79"/>
      <c r="Y18" s="79"/>
      <c r="Z18" s="79"/>
      <c r="AA18" s="79"/>
      <c r="AB18" s="79"/>
      <c r="AC18" s="40"/>
    </row>
    <row r="19" spans="1:29" ht="21" x14ac:dyDescent="0.25">
      <c r="A19" s="113"/>
      <c r="B19" s="27" t="s">
        <v>9</v>
      </c>
      <c r="C19" s="27" t="s">
        <v>120</v>
      </c>
      <c r="D19" s="27" t="s">
        <v>138</v>
      </c>
      <c r="E19" s="27">
        <v>57</v>
      </c>
      <c r="F19" s="27" t="s">
        <v>40</v>
      </c>
      <c r="G19" s="27">
        <v>40</v>
      </c>
      <c r="H19" s="27">
        <v>9</v>
      </c>
      <c r="I19" s="27">
        <v>0</v>
      </c>
      <c r="J19" s="27">
        <v>0.70175438599999995</v>
      </c>
      <c r="K19" s="27" t="s">
        <v>136</v>
      </c>
      <c r="L19" s="27" t="s">
        <v>158</v>
      </c>
      <c r="M19" s="27" t="s">
        <v>136</v>
      </c>
      <c r="N19" s="27" t="s">
        <v>161</v>
      </c>
      <c r="O19" s="54" t="s">
        <v>40</v>
      </c>
      <c r="P19" s="113"/>
      <c r="Q19" s="79"/>
      <c r="R19" s="79"/>
      <c r="S19" s="79"/>
      <c r="T19" s="79"/>
      <c r="U19" s="79"/>
      <c r="V19" s="40"/>
      <c r="W19" s="113"/>
      <c r="X19" s="79"/>
      <c r="Y19" s="79"/>
      <c r="Z19" s="79"/>
      <c r="AA19" s="79"/>
      <c r="AB19" s="79"/>
      <c r="AC19" s="40"/>
    </row>
    <row r="20" spans="1:29" ht="21" x14ac:dyDescent="0.25">
      <c r="A20" s="113"/>
      <c r="B20" s="12" t="s">
        <v>8</v>
      </c>
      <c r="C20" s="12" t="s">
        <v>121</v>
      </c>
      <c r="D20" s="12" t="s">
        <v>138</v>
      </c>
      <c r="E20" s="12">
        <v>7</v>
      </c>
      <c r="F20" s="12" t="s">
        <v>40</v>
      </c>
      <c r="G20" s="12">
        <v>1</v>
      </c>
      <c r="H20" s="12">
        <v>8</v>
      </c>
      <c r="I20" s="12">
        <v>1</v>
      </c>
      <c r="J20" s="12">
        <f>G20/E20</f>
        <v>0.14285714285714285</v>
      </c>
      <c r="K20" s="12" t="s">
        <v>137</v>
      </c>
      <c r="L20" s="12" t="s">
        <v>161</v>
      </c>
      <c r="M20" s="12" t="s">
        <v>169</v>
      </c>
      <c r="N20" s="12" t="s">
        <v>161</v>
      </c>
      <c r="O20" s="40" t="s">
        <v>41</v>
      </c>
      <c r="P20" s="113"/>
      <c r="Q20" s="79"/>
      <c r="R20" s="79"/>
      <c r="S20" s="79"/>
      <c r="T20" s="79"/>
      <c r="U20" s="79"/>
      <c r="V20" s="40"/>
      <c r="W20" s="113"/>
      <c r="X20" s="79"/>
      <c r="Y20" s="79"/>
      <c r="Z20" s="79"/>
      <c r="AA20" s="79"/>
      <c r="AB20" s="79"/>
      <c r="AC20" s="40"/>
    </row>
    <row r="21" spans="1:29" ht="21" x14ac:dyDescent="0.25">
      <c r="A21" s="113"/>
      <c r="B21" s="12" t="s">
        <v>9</v>
      </c>
      <c r="C21" s="12" t="s">
        <v>121</v>
      </c>
      <c r="D21" s="12" t="s">
        <v>138</v>
      </c>
      <c r="E21" s="12">
        <v>7</v>
      </c>
      <c r="F21" s="12" t="s">
        <v>40</v>
      </c>
      <c r="G21" s="12">
        <v>1</v>
      </c>
      <c r="H21" s="12">
        <v>8</v>
      </c>
      <c r="I21" s="12">
        <v>1</v>
      </c>
      <c r="J21" s="12">
        <f t="shared" ref="J21:J23" si="2">G21/E21</f>
        <v>0.14285714285714285</v>
      </c>
      <c r="K21" s="12" t="s">
        <v>137</v>
      </c>
      <c r="L21" s="12" t="s">
        <v>161</v>
      </c>
      <c r="M21" s="12" t="s">
        <v>169</v>
      </c>
      <c r="N21" s="12" t="s">
        <v>161</v>
      </c>
      <c r="O21" s="40" t="s">
        <v>41</v>
      </c>
      <c r="P21" s="113"/>
      <c r="Q21" s="79"/>
      <c r="R21" s="79"/>
      <c r="S21" s="79"/>
      <c r="T21" s="79"/>
      <c r="U21" s="79"/>
      <c r="V21" s="40"/>
      <c r="W21" s="113"/>
      <c r="X21" s="79"/>
      <c r="Y21" s="79"/>
      <c r="Z21" s="79"/>
      <c r="AA21" s="79"/>
      <c r="AB21" s="79"/>
      <c r="AC21" s="40"/>
    </row>
    <row r="22" spans="1:29" ht="21" x14ac:dyDescent="0.25">
      <c r="A22" s="113"/>
      <c r="B22" s="12" t="s">
        <v>8</v>
      </c>
      <c r="C22" s="12" t="s">
        <v>122</v>
      </c>
      <c r="D22" s="12" t="s">
        <v>176</v>
      </c>
      <c r="E22" s="12">
        <v>32</v>
      </c>
      <c r="F22" s="12" t="s">
        <v>40</v>
      </c>
      <c r="G22" s="12">
        <v>9</v>
      </c>
      <c r="H22" s="12">
        <v>1</v>
      </c>
      <c r="I22" s="12">
        <v>22</v>
      </c>
      <c r="J22" s="12">
        <f t="shared" si="2"/>
        <v>0.28125</v>
      </c>
      <c r="K22" s="12" t="s">
        <v>137</v>
      </c>
      <c r="L22" s="12" t="s">
        <v>161</v>
      </c>
      <c r="M22" s="12" t="s">
        <v>169</v>
      </c>
      <c r="N22" s="12" t="s">
        <v>140</v>
      </c>
      <c r="O22" s="40" t="s">
        <v>41</v>
      </c>
      <c r="P22" s="113"/>
      <c r="Q22" s="79"/>
      <c r="R22" s="79"/>
      <c r="S22" s="79"/>
      <c r="T22" s="79"/>
      <c r="U22" s="79"/>
      <c r="V22" s="40"/>
      <c r="W22" s="113"/>
      <c r="X22" s="79"/>
      <c r="Y22" s="79"/>
      <c r="Z22" s="79"/>
      <c r="AA22" s="79"/>
      <c r="AB22" s="79"/>
      <c r="AC22" s="40"/>
    </row>
    <row r="23" spans="1:29" ht="21" x14ac:dyDescent="0.25">
      <c r="A23" s="44"/>
      <c r="B23" s="12" t="s">
        <v>9</v>
      </c>
      <c r="C23" s="12" t="s">
        <v>122</v>
      </c>
      <c r="D23" s="12" t="s">
        <v>176</v>
      </c>
      <c r="E23" s="12">
        <v>32</v>
      </c>
      <c r="F23" s="12" t="s">
        <v>40</v>
      </c>
      <c r="G23" s="12">
        <v>9</v>
      </c>
      <c r="H23" s="12">
        <v>1</v>
      </c>
      <c r="I23" s="12">
        <v>22</v>
      </c>
      <c r="J23" s="12">
        <f t="shared" si="2"/>
        <v>0.28125</v>
      </c>
      <c r="K23" s="12" t="s">
        <v>137</v>
      </c>
      <c r="L23" s="12" t="s">
        <v>161</v>
      </c>
      <c r="M23" s="12" t="s">
        <v>137</v>
      </c>
      <c r="N23" s="12" t="s">
        <v>140</v>
      </c>
      <c r="O23" s="40" t="s">
        <v>41</v>
      </c>
      <c r="P23" s="44"/>
      <c r="Q23" s="79"/>
      <c r="R23" s="79"/>
      <c r="S23" s="79"/>
      <c r="T23" s="79"/>
      <c r="U23" s="79"/>
      <c r="V23" s="40"/>
      <c r="W23" s="44"/>
      <c r="X23" s="79"/>
      <c r="Y23" s="79"/>
      <c r="Z23" s="79"/>
      <c r="AA23" s="79"/>
      <c r="AB23" s="79"/>
      <c r="AC23" s="40"/>
    </row>
    <row r="24" spans="1:29" ht="21" x14ac:dyDescent="0.25">
      <c r="A24" s="29"/>
      <c r="B24" s="27" t="s">
        <v>8</v>
      </c>
      <c r="C24" s="27" t="s">
        <v>123</v>
      </c>
      <c r="D24" s="12" t="s">
        <v>138</v>
      </c>
      <c r="E24" s="27">
        <v>81</v>
      </c>
      <c r="F24" s="12" t="s">
        <v>40</v>
      </c>
      <c r="G24" s="27">
        <v>81</v>
      </c>
      <c r="H24" s="27">
        <v>0</v>
      </c>
      <c r="I24" s="27">
        <v>0</v>
      </c>
      <c r="J24" s="27">
        <f>G24/E24</f>
        <v>1</v>
      </c>
      <c r="K24" s="27" t="s">
        <v>136</v>
      </c>
      <c r="L24" s="27" t="s">
        <v>158</v>
      </c>
      <c r="M24" s="27" t="s">
        <v>137</v>
      </c>
      <c r="N24" s="27" t="s">
        <v>140</v>
      </c>
      <c r="O24" s="54" t="s">
        <v>39</v>
      </c>
      <c r="P24" s="29"/>
      <c r="Q24" s="79"/>
      <c r="R24" s="79"/>
      <c r="S24" s="79"/>
      <c r="T24" s="79"/>
      <c r="U24" s="79"/>
      <c r="V24" s="40"/>
      <c r="W24" s="29"/>
      <c r="X24" s="12" t="s">
        <v>136</v>
      </c>
      <c r="Y24" s="12" t="s">
        <v>136</v>
      </c>
      <c r="Z24" s="12" t="s">
        <v>146</v>
      </c>
      <c r="AA24" s="12">
        <v>2</v>
      </c>
      <c r="AB24" s="12" t="s">
        <v>140</v>
      </c>
      <c r="AC24" s="40" t="s">
        <v>39</v>
      </c>
    </row>
    <row r="25" spans="1:29" ht="21" x14ac:dyDescent="0.25">
      <c r="A25" s="29"/>
      <c r="B25" s="27" t="s">
        <v>9</v>
      </c>
      <c r="C25" s="27" t="s">
        <v>123</v>
      </c>
      <c r="D25" s="12" t="s">
        <v>138</v>
      </c>
      <c r="E25" s="27">
        <v>81</v>
      </c>
      <c r="F25" s="12" t="s">
        <v>40</v>
      </c>
      <c r="G25" s="27">
        <v>81</v>
      </c>
      <c r="H25" s="27">
        <v>0</v>
      </c>
      <c r="I25" s="27">
        <v>0</v>
      </c>
      <c r="J25" s="27">
        <f t="shared" ref="J25:J26" si="3">G25/E25</f>
        <v>1</v>
      </c>
      <c r="K25" s="27" t="s">
        <v>136</v>
      </c>
      <c r="L25" s="27" t="s">
        <v>158</v>
      </c>
      <c r="M25" s="27" t="s">
        <v>137</v>
      </c>
      <c r="N25" s="27" t="s">
        <v>140</v>
      </c>
      <c r="O25" s="54" t="s">
        <v>39</v>
      </c>
      <c r="P25" s="29"/>
      <c r="Q25" s="79"/>
      <c r="R25" s="79"/>
      <c r="S25" s="79"/>
      <c r="T25" s="79"/>
      <c r="U25" s="79"/>
      <c r="V25" s="40"/>
      <c r="W25" s="29"/>
      <c r="X25" s="12" t="s">
        <v>136</v>
      </c>
      <c r="Y25" s="12" t="s">
        <v>136</v>
      </c>
      <c r="Z25" s="12" t="s">
        <v>146</v>
      </c>
      <c r="AA25" s="12">
        <v>2</v>
      </c>
      <c r="AB25" s="12" t="s">
        <v>140</v>
      </c>
      <c r="AC25" s="40" t="s">
        <v>39</v>
      </c>
    </row>
    <row r="26" spans="1:29" ht="21" x14ac:dyDescent="0.25">
      <c r="A26" s="29"/>
      <c r="B26" s="12" t="s">
        <v>8</v>
      </c>
      <c r="C26" s="12" t="s">
        <v>124</v>
      </c>
      <c r="D26" s="12" t="s">
        <v>138</v>
      </c>
      <c r="E26" s="12">
        <v>7</v>
      </c>
      <c r="F26" s="12" t="s">
        <v>40</v>
      </c>
      <c r="G26" s="12">
        <v>5</v>
      </c>
      <c r="H26" s="12">
        <v>1</v>
      </c>
      <c r="I26" s="12">
        <v>0</v>
      </c>
      <c r="J26" s="12">
        <f t="shared" si="3"/>
        <v>0.7142857142857143</v>
      </c>
      <c r="K26" s="12" t="s">
        <v>136</v>
      </c>
      <c r="L26" s="12" t="s">
        <v>158</v>
      </c>
      <c r="M26" s="12" t="s">
        <v>169</v>
      </c>
      <c r="N26" s="12" t="s">
        <v>161</v>
      </c>
      <c r="O26" s="40" t="s">
        <v>40</v>
      </c>
      <c r="P26" s="29"/>
      <c r="Q26" s="79"/>
      <c r="R26" s="79"/>
      <c r="S26" s="79"/>
      <c r="T26" s="79"/>
      <c r="U26" s="79"/>
      <c r="V26" s="40"/>
      <c r="W26" s="29"/>
      <c r="X26" s="79"/>
      <c r="Y26" s="79"/>
      <c r="Z26" s="79"/>
      <c r="AA26" s="79"/>
      <c r="AB26" s="79"/>
      <c r="AC26" s="40"/>
    </row>
    <row r="27" spans="1:29" ht="21" x14ac:dyDescent="0.25">
      <c r="A27" s="29"/>
      <c r="B27" s="81" t="s">
        <v>9</v>
      </c>
      <c r="C27" s="81" t="s">
        <v>124</v>
      </c>
      <c r="D27" s="81"/>
      <c r="E27" s="81">
        <v>7</v>
      </c>
      <c r="F27" s="81" t="s">
        <v>40</v>
      </c>
      <c r="G27" s="81"/>
      <c r="H27" s="81"/>
      <c r="I27" s="81"/>
      <c r="J27" s="81"/>
      <c r="K27" s="81"/>
      <c r="L27" s="81"/>
      <c r="M27" s="81"/>
      <c r="N27" s="81"/>
      <c r="O27" s="40"/>
      <c r="P27" s="29"/>
      <c r="Q27" s="79"/>
      <c r="R27" s="79"/>
      <c r="S27" s="79"/>
      <c r="T27" s="79"/>
      <c r="U27" s="79"/>
      <c r="V27" s="40"/>
      <c r="W27" s="29"/>
      <c r="X27" s="79"/>
      <c r="Y27" s="79"/>
      <c r="Z27" s="79"/>
      <c r="AA27" s="79"/>
      <c r="AB27" s="79"/>
      <c r="AC27" s="40"/>
    </row>
    <row r="28" spans="1:29" ht="21" x14ac:dyDescent="0.25">
      <c r="A28" s="29"/>
      <c r="B28" s="12" t="s">
        <v>8</v>
      </c>
      <c r="C28" s="12" t="s">
        <v>125</v>
      </c>
      <c r="D28" s="12" t="s">
        <v>138</v>
      </c>
      <c r="E28" s="12">
        <v>16</v>
      </c>
      <c r="F28" s="12" t="s">
        <v>40</v>
      </c>
      <c r="G28" s="12">
        <v>8</v>
      </c>
      <c r="H28" s="12">
        <v>4</v>
      </c>
      <c r="I28" s="12">
        <v>4</v>
      </c>
      <c r="J28" s="12">
        <f t="shared" ref="J28:J45" si="4">G28/E28</f>
        <v>0.5</v>
      </c>
      <c r="K28" s="12" t="s">
        <v>137</v>
      </c>
      <c r="L28" s="12" t="s">
        <v>161</v>
      </c>
      <c r="M28" s="12" t="s">
        <v>169</v>
      </c>
      <c r="N28" s="12" t="s">
        <v>161</v>
      </c>
      <c r="O28" s="40" t="s">
        <v>41</v>
      </c>
      <c r="P28" s="29"/>
      <c r="Q28" s="79"/>
      <c r="R28" s="79"/>
      <c r="S28" s="79"/>
      <c r="T28" s="79"/>
      <c r="U28" s="79"/>
      <c r="V28" s="40"/>
      <c r="W28" s="29"/>
      <c r="X28" s="79"/>
      <c r="Y28" s="79"/>
      <c r="Z28" s="79"/>
      <c r="AA28" s="79"/>
      <c r="AB28" s="79"/>
      <c r="AC28" s="40"/>
    </row>
    <row r="29" spans="1:29" ht="21" x14ac:dyDescent="0.25">
      <c r="A29" s="29"/>
      <c r="B29" s="12" t="s">
        <v>9</v>
      </c>
      <c r="C29" s="12" t="s">
        <v>125</v>
      </c>
      <c r="D29" s="12" t="s">
        <v>138</v>
      </c>
      <c r="E29" s="12">
        <v>16</v>
      </c>
      <c r="F29" s="12" t="s">
        <v>40</v>
      </c>
      <c r="G29" s="12">
        <v>8</v>
      </c>
      <c r="H29" s="12">
        <v>4</v>
      </c>
      <c r="I29" s="12">
        <v>4</v>
      </c>
      <c r="J29" s="12">
        <f t="shared" si="4"/>
        <v>0.5</v>
      </c>
      <c r="K29" s="12" t="s">
        <v>137</v>
      </c>
      <c r="L29" s="12" t="s">
        <v>161</v>
      </c>
      <c r="M29" s="12" t="s">
        <v>169</v>
      </c>
      <c r="N29" s="12" t="s">
        <v>161</v>
      </c>
      <c r="O29" s="40" t="s">
        <v>41</v>
      </c>
      <c r="P29" s="29"/>
      <c r="Q29" s="79"/>
      <c r="R29" s="79"/>
      <c r="S29" s="79"/>
      <c r="T29" s="79"/>
      <c r="U29" s="79"/>
      <c r="V29" s="40"/>
      <c r="W29" s="29"/>
      <c r="X29" s="79"/>
      <c r="Y29" s="79"/>
      <c r="Z29" s="79"/>
      <c r="AA29" s="79"/>
      <c r="AB29" s="79"/>
      <c r="AC29" s="40"/>
    </row>
    <row r="30" spans="1:29" ht="21" x14ac:dyDescent="0.25">
      <c r="A30" s="29"/>
      <c r="B30" s="12" t="s">
        <v>8</v>
      </c>
      <c r="C30" s="12" t="s">
        <v>126</v>
      </c>
      <c r="D30" s="12" t="s">
        <v>138</v>
      </c>
      <c r="E30" s="12">
        <v>83</v>
      </c>
      <c r="F30" s="12" t="s">
        <v>40</v>
      </c>
      <c r="G30" s="12">
        <v>3</v>
      </c>
      <c r="H30" s="12" t="s">
        <v>139</v>
      </c>
      <c r="I30" s="12" t="s">
        <v>139</v>
      </c>
      <c r="J30" s="12">
        <f t="shared" si="4"/>
        <v>3.614457831325301E-2</v>
      </c>
      <c r="K30" s="12" t="s">
        <v>137</v>
      </c>
      <c r="L30" s="12" t="s">
        <v>161</v>
      </c>
      <c r="M30" s="12" t="s">
        <v>137</v>
      </c>
      <c r="N30" s="12" t="s">
        <v>140</v>
      </c>
      <c r="O30" s="40" t="s">
        <v>41</v>
      </c>
      <c r="P30" s="29"/>
      <c r="Q30" s="12" t="s">
        <v>136</v>
      </c>
      <c r="R30" s="12" t="s">
        <v>168</v>
      </c>
      <c r="S30" s="12" t="s">
        <v>136</v>
      </c>
      <c r="T30" s="12">
        <v>2</v>
      </c>
      <c r="U30" s="12" t="s">
        <v>140</v>
      </c>
      <c r="V30" s="40" t="s">
        <v>41</v>
      </c>
      <c r="W30" s="29"/>
      <c r="X30" s="12" t="s">
        <v>136</v>
      </c>
      <c r="Y30" s="12" t="s">
        <v>168</v>
      </c>
      <c r="Z30" s="12" t="s">
        <v>136</v>
      </c>
      <c r="AA30" s="12">
        <v>2</v>
      </c>
      <c r="AB30" s="12" t="s">
        <v>140</v>
      </c>
      <c r="AC30" s="40" t="s">
        <v>41</v>
      </c>
    </row>
    <row r="31" spans="1:29" ht="21" x14ac:dyDescent="0.25">
      <c r="A31" s="29"/>
      <c r="B31" s="12" t="s">
        <v>9</v>
      </c>
      <c r="C31" s="12" t="s">
        <v>126</v>
      </c>
      <c r="D31" s="12" t="s">
        <v>138</v>
      </c>
      <c r="E31" s="12">
        <v>83</v>
      </c>
      <c r="F31" s="12" t="s">
        <v>40</v>
      </c>
      <c r="G31" s="12">
        <v>3</v>
      </c>
      <c r="H31" s="12" t="s">
        <v>139</v>
      </c>
      <c r="I31" s="12" t="s">
        <v>139</v>
      </c>
      <c r="J31" s="12">
        <f t="shared" si="4"/>
        <v>3.614457831325301E-2</v>
      </c>
      <c r="K31" s="12" t="s">
        <v>137</v>
      </c>
      <c r="L31" s="12" t="s">
        <v>161</v>
      </c>
      <c r="M31" s="12" t="s">
        <v>137</v>
      </c>
      <c r="N31" s="12" t="s">
        <v>140</v>
      </c>
      <c r="O31" s="40" t="s">
        <v>41</v>
      </c>
      <c r="P31" s="29"/>
      <c r="Q31" s="12" t="s">
        <v>136</v>
      </c>
      <c r="R31" s="12" t="s">
        <v>168</v>
      </c>
      <c r="S31" s="12" t="s">
        <v>136</v>
      </c>
      <c r="T31" s="12">
        <v>2</v>
      </c>
      <c r="U31" s="12" t="s">
        <v>140</v>
      </c>
      <c r="V31" s="40" t="s">
        <v>41</v>
      </c>
      <c r="W31" s="29"/>
      <c r="X31" s="12" t="s">
        <v>136</v>
      </c>
      <c r="Y31" s="12" t="s">
        <v>168</v>
      </c>
      <c r="Z31" s="12" t="s">
        <v>136</v>
      </c>
      <c r="AA31" s="12">
        <v>2</v>
      </c>
      <c r="AB31" s="12" t="s">
        <v>140</v>
      </c>
      <c r="AC31" s="40" t="s">
        <v>41</v>
      </c>
    </row>
    <row r="32" spans="1:29" ht="21" x14ac:dyDescent="0.25">
      <c r="A32" s="29"/>
      <c r="B32" s="12" t="s">
        <v>8</v>
      </c>
      <c r="C32" s="12" t="s">
        <v>127</v>
      </c>
      <c r="D32" s="12" t="s">
        <v>138</v>
      </c>
      <c r="E32" s="12">
        <v>11</v>
      </c>
      <c r="F32" s="12" t="s">
        <v>40</v>
      </c>
      <c r="G32" s="12">
        <v>4</v>
      </c>
      <c r="H32" s="12">
        <v>5</v>
      </c>
      <c r="I32" s="12">
        <v>2</v>
      </c>
      <c r="J32" s="12">
        <f t="shared" si="4"/>
        <v>0.36363636363636365</v>
      </c>
      <c r="K32" s="12" t="s">
        <v>136</v>
      </c>
      <c r="L32" s="12" t="s">
        <v>158</v>
      </c>
      <c r="M32" s="12" t="s">
        <v>136</v>
      </c>
      <c r="N32" s="12" t="s">
        <v>161</v>
      </c>
      <c r="O32" s="40" t="s">
        <v>40</v>
      </c>
      <c r="P32" s="29"/>
      <c r="Q32" s="79"/>
      <c r="R32" s="79"/>
      <c r="S32" s="79"/>
      <c r="T32" s="79"/>
      <c r="U32" s="79"/>
      <c r="V32" s="40"/>
      <c r="W32" s="29"/>
      <c r="X32" s="79"/>
      <c r="Y32" s="79"/>
      <c r="Z32" s="79"/>
      <c r="AA32" s="79"/>
      <c r="AB32" s="79"/>
      <c r="AC32" s="40"/>
    </row>
    <row r="33" spans="1:29" ht="21" x14ac:dyDescent="0.25">
      <c r="A33" s="29"/>
      <c r="B33" s="12" t="s">
        <v>9</v>
      </c>
      <c r="C33" s="12" t="s">
        <v>127</v>
      </c>
      <c r="D33" s="12" t="s">
        <v>138</v>
      </c>
      <c r="E33" s="12">
        <v>11</v>
      </c>
      <c r="F33" s="12" t="s">
        <v>40</v>
      </c>
      <c r="G33" s="12">
        <v>4</v>
      </c>
      <c r="H33" s="12">
        <v>5</v>
      </c>
      <c r="I33" s="12">
        <v>2</v>
      </c>
      <c r="J33" s="12">
        <f t="shared" si="4"/>
        <v>0.36363636363636365</v>
      </c>
      <c r="K33" s="12" t="s">
        <v>136</v>
      </c>
      <c r="L33" s="12" t="s">
        <v>158</v>
      </c>
      <c r="M33" s="12" t="s">
        <v>136</v>
      </c>
      <c r="N33" s="12" t="s">
        <v>161</v>
      </c>
      <c r="O33" s="40" t="s">
        <v>40</v>
      </c>
      <c r="P33" s="29"/>
      <c r="Q33" s="79"/>
      <c r="R33" s="79"/>
      <c r="S33" s="79"/>
      <c r="T33" s="79"/>
      <c r="U33" s="79"/>
      <c r="V33" s="40"/>
      <c r="W33" s="29"/>
      <c r="X33" s="79"/>
      <c r="Y33" s="79"/>
      <c r="Z33" s="79"/>
      <c r="AA33" s="79"/>
      <c r="AB33" s="79"/>
      <c r="AC33" s="40"/>
    </row>
    <row r="34" spans="1:29" ht="21" x14ac:dyDescent="0.25">
      <c r="A34" s="29"/>
      <c r="B34" s="12" t="s">
        <v>8</v>
      </c>
      <c r="C34" s="12" t="s">
        <v>128</v>
      </c>
      <c r="D34" s="12" t="s">
        <v>138</v>
      </c>
      <c r="E34" s="12">
        <v>11</v>
      </c>
      <c r="F34" s="12" t="s">
        <v>40</v>
      </c>
      <c r="G34" s="12">
        <v>1</v>
      </c>
      <c r="H34" s="12">
        <v>4</v>
      </c>
      <c r="I34" s="12">
        <v>6</v>
      </c>
      <c r="J34" s="12">
        <f t="shared" si="4"/>
        <v>9.0909090909090912E-2</v>
      </c>
      <c r="K34" s="12" t="s">
        <v>137</v>
      </c>
      <c r="L34" s="12" t="s">
        <v>161</v>
      </c>
      <c r="M34" s="12" t="s">
        <v>137</v>
      </c>
      <c r="N34" s="12" t="s">
        <v>140</v>
      </c>
      <c r="O34" s="40" t="s">
        <v>41</v>
      </c>
      <c r="P34" s="29"/>
      <c r="Q34" s="79"/>
      <c r="R34" s="79"/>
      <c r="S34" s="79"/>
      <c r="T34" s="79"/>
      <c r="U34" s="79"/>
      <c r="V34" s="40"/>
      <c r="W34" s="29"/>
      <c r="X34" s="79"/>
      <c r="Y34" s="79"/>
      <c r="Z34" s="79"/>
      <c r="AA34" s="79"/>
      <c r="AB34" s="79"/>
      <c r="AC34" s="40"/>
    </row>
    <row r="35" spans="1:29" ht="21" x14ac:dyDescent="0.25">
      <c r="A35" s="29"/>
      <c r="B35" s="12" t="s">
        <v>9</v>
      </c>
      <c r="C35" s="12" t="s">
        <v>128</v>
      </c>
      <c r="D35" s="12" t="s">
        <v>138</v>
      </c>
      <c r="E35" s="12">
        <v>11</v>
      </c>
      <c r="F35" s="12" t="s">
        <v>40</v>
      </c>
      <c r="G35" s="12">
        <v>1</v>
      </c>
      <c r="H35" s="12">
        <v>4</v>
      </c>
      <c r="I35" s="12">
        <v>6</v>
      </c>
      <c r="J35" s="12">
        <f t="shared" si="4"/>
        <v>9.0909090909090912E-2</v>
      </c>
      <c r="K35" s="12" t="s">
        <v>137</v>
      </c>
      <c r="L35" s="12" t="s">
        <v>161</v>
      </c>
      <c r="M35" s="12" t="s">
        <v>137</v>
      </c>
      <c r="N35" s="12" t="s">
        <v>140</v>
      </c>
      <c r="O35" s="40" t="s">
        <v>41</v>
      </c>
      <c r="P35" s="29"/>
      <c r="Q35" s="79"/>
      <c r="R35" s="79"/>
      <c r="S35" s="79"/>
      <c r="T35" s="79"/>
      <c r="U35" s="79"/>
      <c r="V35" s="40"/>
      <c r="W35" s="29"/>
      <c r="X35" s="79"/>
      <c r="Y35" s="79"/>
      <c r="Z35" s="79"/>
      <c r="AA35" s="79"/>
      <c r="AB35" s="79"/>
      <c r="AC35" s="40"/>
    </row>
    <row r="36" spans="1:29" ht="21" x14ac:dyDescent="0.25">
      <c r="A36" s="29"/>
      <c r="B36" s="12" t="s">
        <v>8</v>
      </c>
      <c r="C36" s="12" t="s">
        <v>129</v>
      </c>
      <c r="D36" s="12" t="s">
        <v>138</v>
      </c>
      <c r="E36" s="12">
        <v>20</v>
      </c>
      <c r="F36" s="12" t="s">
        <v>40</v>
      </c>
      <c r="G36" s="12">
        <v>16</v>
      </c>
      <c r="H36" s="12">
        <v>4</v>
      </c>
      <c r="I36" s="12">
        <v>0</v>
      </c>
      <c r="J36" s="12">
        <f t="shared" si="4"/>
        <v>0.8</v>
      </c>
      <c r="K36" s="12" t="s">
        <v>136</v>
      </c>
      <c r="L36" s="12" t="s">
        <v>158</v>
      </c>
      <c r="M36" s="12" t="s">
        <v>169</v>
      </c>
      <c r="N36" s="12" t="s">
        <v>161</v>
      </c>
      <c r="O36" s="40" t="s">
        <v>40</v>
      </c>
      <c r="P36" s="29"/>
      <c r="Q36" s="79"/>
      <c r="R36" s="79"/>
      <c r="S36" s="79"/>
      <c r="T36" s="79"/>
      <c r="U36" s="79"/>
      <c r="V36" s="40"/>
      <c r="W36" s="29"/>
      <c r="X36" s="79"/>
      <c r="Y36" s="79"/>
      <c r="Z36" s="79"/>
      <c r="AA36" s="79"/>
      <c r="AB36" s="79"/>
      <c r="AC36" s="40"/>
    </row>
    <row r="37" spans="1:29" ht="21" x14ac:dyDescent="0.25">
      <c r="A37" s="29"/>
      <c r="B37" s="12" t="s">
        <v>9</v>
      </c>
      <c r="C37" s="12" t="s">
        <v>129</v>
      </c>
      <c r="D37" s="12" t="s">
        <v>138</v>
      </c>
      <c r="E37" s="12">
        <v>20</v>
      </c>
      <c r="F37" s="12" t="s">
        <v>40</v>
      </c>
      <c r="G37" s="12">
        <v>16</v>
      </c>
      <c r="H37" s="12">
        <v>4</v>
      </c>
      <c r="I37" s="12">
        <v>0</v>
      </c>
      <c r="J37" s="12">
        <f t="shared" si="4"/>
        <v>0.8</v>
      </c>
      <c r="K37" s="12" t="s">
        <v>136</v>
      </c>
      <c r="L37" s="12" t="s">
        <v>158</v>
      </c>
      <c r="M37" s="12" t="s">
        <v>169</v>
      </c>
      <c r="N37" s="12" t="s">
        <v>161</v>
      </c>
      <c r="O37" s="40" t="s">
        <v>40</v>
      </c>
      <c r="P37" s="29"/>
      <c r="Q37" s="79"/>
      <c r="R37" s="79"/>
      <c r="S37" s="79"/>
      <c r="T37" s="79"/>
      <c r="U37" s="79"/>
      <c r="V37" s="40"/>
      <c r="W37" s="29"/>
      <c r="X37" s="79"/>
      <c r="Y37" s="79"/>
      <c r="Z37" s="79"/>
      <c r="AA37" s="79"/>
      <c r="AB37" s="79"/>
      <c r="AC37" s="40"/>
    </row>
    <row r="38" spans="1:29" ht="21" x14ac:dyDescent="0.25">
      <c r="A38" s="29"/>
      <c r="B38" s="12" t="s">
        <v>8</v>
      </c>
      <c r="C38" s="12" t="s">
        <v>130</v>
      </c>
      <c r="D38" s="12" t="s">
        <v>138</v>
      </c>
      <c r="E38" s="12">
        <v>32</v>
      </c>
      <c r="F38" s="12" t="s">
        <v>40</v>
      </c>
      <c r="G38" s="12">
        <v>13</v>
      </c>
      <c r="H38" s="12">
        <v>15</v>
      </c>
      <c r="I38" s="12">
        <v>4</v>
      </c>
      <c r="J38" s="12">
        <f t="shared" si="4"/>
        <v>0.40625</v>
      </c>
      <c r="K38" s="12" t="s">
        <v>137</v>
      </c>
      <c r="L38" s="12" t="s">
        <v>161</v>
      </c>
      <c r="M38" s="12" t="s">
        <v>136</v>
      </c>
      <c r="N38" s="12" t="s">
        <v>161</v>
      </c>
      <c r="O38" s="40" t="s">
        <v>41</v>
      </c>
      <c r="P38" s="29"/>
      <c r="Q38" s="79"/>
      <c r="R38" s="79"/>
      <c r="S38" s="79"/>
      <c r="T38" s="79"/>
      <c r="U38" s="79"/>
      <c r="V38" s="40"/>
      <c r="W38" s="29"/>
      <c r="X38" s="79"/>
      <c r="Y38" s="79"/>
      <c r="Z38" s="79"/>
      <c r="AA38" s="79"/>
      <c r="AB38" s="79"/>
      <c r="AC38" s="40"/>
    </row>
    <row r="39" spans="1:29" ht="21" x14ac:dyDescent="0.25">
      <c r="A39" s="29"/>
      <c r="B39" s="12" t="s">
        <v>9</v>
      </c>
      <c r="C39" s="12" t="s">
        <v>130</v>
      </c>
      <c r="D39" s="12" t="s">
        <v>138</v>
      </c>
      <c r="E39" s="12">
        <v>32</v>
      </c>
      <c r="F39" s="12" t="s">
        <v>40</v>
      </c>
      <c r="G39" s="12">
        <v>13</v>
      </c>
      <c r="H39" s="12">
        <v>15</v>
      </c>
      <c r="I39" s="12">
        <v>4</v>
      </c>
      <c r="J39" s="12">
        <f t="shared" si="4"/>
        <v>0.40625</v>
      </c>
      <c r="K39" s="12" t="s">
        <v>137</v>
      </c>
      <c r="L39" s="12" t="s">
        <v>161</v>
      </c>
      <c r="M39" s="12" t="s">
        <v>136</v>
      </c>
      <c r="N39" s="12" t="s">
        <v>161</v>
      </c>
      <c r="O39" s="40" t="s">
        <v>41</v>
      </c>
      <c r="P39" s="29"/>
      <c r="Q39" s="79"/>
      <c r="R39" s="79"/>
      <c r="S39" s="79"/>
      <c r="T39" s="79"/>
      <c r="U39" s="79"/>
      <c r="V39" s="40"/>
      <c r="W39" s="29"/>
      <c r="X39" s="79"/>
      <c r="Y39" s="79"/>
      <c r="Z39" s="79"/>
      <c r="AA39" s="79"/>
      <c r="AB39" s="79"/>
      <c r="AC39" s="40"/>
    </row>
    <row r="40" spans="1:29" ht="21" x14ac:dyDescent="0.25">
      <c r="A40" s="29"/>
      <c r="B40" s="12" t="s">
        <v>8</v>
      </c>
      <c r="C40" s="12" t="s">
        <v>131</v>
      </c>
      <c r="D40" s="12" t="s">
        <v>138</v>
      </c>
      <c r="E40" s="12">
        <v>12</v>
      </c>
      <c r="F40" s="12" t="s">
        <v>40</v>
      </c>
      <c r="G40" s="12">
        <v>10</v>
      </c>
      <c r="H40" s="12">
        <v>2</v>
      </c>
      <c r="I40" s="12">
        <v>0</v>
      </c>
      <c r="J40" s="12">
        <f t="shared" si="4"/>
        <v>0.83333333333333337</v>
      </c>
      <c r="K40" s="12" t="s">
        <v>136</v>
      </c>
      <c r="L40" s="12" t="s">
        <v>158</v>
      </c>
      <c r="M40" s="12" t="s">
        <v>136</v>
      </c>
      <c r="N40" s="12" t="s">
        <v>161</v>
      </c>
      <c r="O40" s="40" t="s">
        <v>40</v>
      </c>
      <c r="P40" s="29"/>
      <c r="Q40" s="79"/>
      <c r="R40" s="79"/>
      <c r="S40" s="79"/>
      <c r="T40" s="79"/>
      <c r="U40" s="79"/>
      <c r="V40" s="40"/>
      <c r="W40" s="29"/>
      <c r="X40" s="79"/>
      <c r="Y40" s="79"/>
      <c r="Z40" s="79"/>
      <c r="AA40" s="79"/>
      <c r="AB40" s="79"/>
      <c r="AC40" s="40"/>
    </row>
    <row r="41" spans="1:29" ht="21" x14ac:dyDescent="0.25">
      <c r="A41" s="29"/>
      <c r="B41" s="12" t="s">
        <v>8</v>
      </c>
      <c r="C41" s="12" t="s">
        <v>131</v>
      </c>
      <c r="D41" s="12" t="s">
        <v>138</v>
      </c>
      <c r="E41" s="12">
        <v>12</v>
      </c>
      <c r="F41" s="12" t="s">
        <v>40</v>
      </c>
      <c r="G41" s="12">
        <v>10</v>
      </c>
      <c r="H41" s="12">
        <v>2</v>
      </c>
      <c r="I41" s="12">
        <v>0</v>
      </c>
      <c r="J41" s="12">
        <f t="shared" si="4"/>
        <v>0.83333333333333337</v>
      </c>
      <c r="K41" s="12" t="s">
        <v>136</v>
      </c>
      <c r="L41" s="12" t="s">
        <v>158</v>
      </c>
      <c r="M41" s="12" t="s">
        <v>136</v>
      </c>
      <c r="N41" s="12" t="s">
        <v>161</v>
      </c>
      <c r="O41" s="40" t="s">
        <v>40</v>
      </c>
      <c r="P41" s="29"/>
      <c r="Q41" s="79"/>
      <c r="R41" s="79"/>
      <c r="S41" s="79"/>
      <c r="T41" s="79"/>
      <c r="U41" s="79"/>
      <c r="V41" s="40"/>
      <c r="W41" s="29"/>
      <c r="X41" s="79"/>
      <c r="Y41" s="79"/>
      <c r="Z41" s="79"/>
      <c r="AA41" s="79"/>
      <c r="AB41" s="79"/>
      <c r="AC41" s="40"/>
    </row>
    <row r="42" spans="1:29" ht="21" x14ac:dyDescent="0.25">
      <c r="A42" s="29"/>
      <c r="B42" s="12" t="s">
        <v>8</v>
      </c>
      <c r="C42" s="12" t="s">
        <v>132</v>
      </c>
      <c r="D42" s="12" t="s">
        <v>138</v>
      </c>
      <c r="E42" s="12">
        <v>9</v>
      </c>
      <c r="F42" s="12" t="s">
        <v>40</v>
      </c>
      <c r="G42" s="12">
        <v>8</v>
      </c>
      <c r="H42" s="12">
        <v>1</v>
      </c>
      <c r="I42" s="12">
        <v>0</v>
      </c>
      <c r="J42" s="12">
        <f t="shared" si="4"/>
        <v>0.88888888888888884</v>
      </c>
      <c r="K42" s="12" t="s">
        <v>136</v>
      </c>
      <c r="L42" s="12" t="s">
        <v>158</v>
      </c>
      <c r="M42" s="12" t="s">
        <v>136</v>
      </c>
      <c r="N42" s="12" t="s">
        <v>161</v>
      </c>
      <c r="O42" s="40" t="s">
        <v>40</v>
      </c>
      <c r="P42" s="29"/>
      <c r="Q42" s="79"/>
      <c r="R42" s="79"/>
      <c r="S42" s="79"/>
      <c r="T42" s="79"/>
      <c r="U42" s="79"/>
      <c r="V42" s="40"/>
      <c r="W42" s="29"/>
      <c r="X42" s="79"/>
      <c r="Y42" s="79"/>
      <c r="Z42" s="79"/>
      <c r="AA42" s="79"/>
      <c r="AB42" s="79"/>
      <c r="AC42" s="40"/>
    </row>
    <row r="43" spans="1:29" ht="21" x14ac:dyDescent="0.25">
      <c r="A43" s="29"/>
      <c r="B43" s="12" t="s">
        <v>9</v>
      </c>
      <c r="C43" s="12" t="s">
        <v>132</v>
      </c>
      <c r="D43" s="12" t="s">
        <v>138</v>
      </c>
      <c r="E43" s="12">
        <v>9</v>
      </c>
      <c r="F43" s="12" t="s">
        <v>40</v>
      </c>
      <c r="G43" s="12">
        <v>8</v>
      </c>
      <c r="H43" s="12">
        <v>1</v>
      </c>
      <c r="I43" s="12">
        <v>0</v>
      </c>
      <c r="J43" s="12">
        <f t="shared" si="4"/>
        <v>0.88888888888888884</v>
      </c>
      <c r="K43" s="12" t="s">
        <v>136</v>
      </c>
      <c r="L43" s="12" t="s">
        <v>158</v>
      </c>
      <c r="M43" s="12" t="s">
        <v>136</v>
      </c>
      <c r="N43" s="12" t="s">
        <v>161</v>
      </c>
      <c r="O43" s="40" t="s">
        <v>40</v>
      </c>
      <c r="P43" s="29"/>
      <c r="Q43" s="79"/>
      <c r="R43" s="79"/>
      <c r="S43" s="79"/>
      <c r="T43" s="79"/>
      <c r="U43" s="79"/>
      <c r="V43" s="40"/>
      <c r="W43" s="29"/>
      <c r="X43" s="79"/>
      <c r="Y43" s="79"/>
      <c r="Z43" s="79"/>
      <c r="AA43" s="79"/>
      <c r="AB43" s="79"/>
      <c r="AC43" s="40"/>
    </row>
    <row r="44" spans="1:29" ht="21" x14ac:dyDescent="0.25">
      <c r="A44" s="29"/>
      <c r="B44" s="12" t="s">
        <v>8</v>
      </c>
      <c r="C44" s="12" t="s">
        <v>133</v>
      </c>
      <c r="D44" s="12" t="s">
        <v>138</v>
      </c>
      <c r="E44" s="12">
        <v>39</v>
      </c>
      <c r="F44" s="12" t="s">
        <v>40</v>
      </c>
      <c r="G44" s="12">
        <v>28</v>
      </c>
      <c r="H44" s="12">
        <v>11</v>
      </c>
      <c r="I44" s="12">
        <v>0</v>
      </c>
      <c r="J44" s="12">
        <f t="shared" si="4"/>
        <v>0.71794871794871795</v>
      </c>
      <c r="K44" s="12" t="s">
        <v>136</v>
      </c>
      <c r="L44" s="12" t="s">
        <v>158</v>
      </c>
      <c r="M44" s="12" t="s">
        <v>137</v>
      </c>
      <c r="N44" s="12" t="s">
        <v>140</v>
      </c>
      <c r="O44" s="40" t="s">
        <v>39</v>
      </c>
      <c r="P44" s="29"/>
      <c r="Q44" s="79"/>
      <c r="R44" s="79"/>
      <c r="S44" s="79"/>
      <c r="T44" s="79"/>
      <c r="U44" s="79"/>
      <c r="V44" s="40"/>
      <c r="W44" s="29"/>
      <c r="X44" s="79"/>
      <c r="Y44" s="79"/>
      <c r="Z44" s="79"/>
      <c r="AA44" s="79"/>
      <c r="AB44" s="79"/>
      <c r="AC44" s="40"/>
    </row>
    <row r="45" spans="1:29" ht="22" thickBot="1" x14ac:dyDescent="0.3">
      <c r="A45" s="30"/>
      <c r="B45" s="43" t="s">
        <v>9</v>
      </c>
      <c r="C45" s="43" t="s">
        <v>133</v>
      </c>
      <c r="D45" s="43" t="s">
        <v>138</v>
      </c>
      <c r="E45" s="43">
        <v>39</v>
      </c>
      <c r="F45" s="43" t="s">
        <v>40</v>
      </c>
      <c r="G45" s="43">
        <v>28</v>
      </c>
      <c r="H45" s="43">
        <v>11</v>
      </c>
      <c r="I45" s="43">
        <v>0</v>
      </c>
      <c r="J45" s="43">
        <f t="shared" si="4"/>
        <v>0.71794871794871795</v>
      </c>
      <c r="K45" s="43" t="s">
        <v>136</v>
      </c>
      <c r="L45" s="43" t="s">
        <v>158</v>
      </c>
      <c r="M45" s="43" t="s">
        <v>137</v>
      </c>
      <c r="N45" s="43" t="s">
        <v>140</v>
      </c>
      <c r="O45" s="48" t="s">
        <v>39</v>
      </c>
      <c r="P45" s="30"/>
      <c r="Q45" s="79"/>
      <c r="R45" s="79"/>
      <c r="S45" s="79"/>
      <c r="T45" s="79"/>
      <c r="U45" s="79"/>
      <c r="V45" s="48"/>
      <c r="W45" s="30"/>
      <c r="X45" s="79"/>
      <c r="Y45" s="79"/>
      <c r="Z45" s="79"/>
      <c r="AA45" s="79"/>
      <c r="AB45" s="79"/>
      <c r="AC45" s="48"/>
    </row>
  </sheetData>
  <mergeCells count="12">
    <mergeCell ref="W1:W3"/>
    <mergeCell ref="X1:Z1"/>
    <mergeCell ref="AA1:AB1"/>
    <mergeCell ref="A4:A22"/>
    <mergeCell ref="P4:P22"/>
    <mergeCell ref="W4:W22"/>
    <mergeCell ref="A1:A3"/>
    <mergeCell ref="G1:J1"/>
    <mergeCell ref="K1:L1"/>
    <mergeCell ref="P1:P3"/>
    <mergeCell ref="Q1:S1"/>
    <mergeCell ref="T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D093-06DC-444E-97EA-C05E385E4AE7}">
  <dimension ref="A1:AC45"/>
  <sheetViews>
    <sheetView topLeftCell="B1" zoomScale="75" workbookViewId="0">
      <selection activeCell="B25" sqref="A24:XFD25"/>
    </sheetView>
  </sheetViews>
  <sheetFormatPr baseColWidth="10" defaultRowHeight="16" x14ac:dyDescent="0.2"/>
  <cols>
    <col min="16" max="16" width="19.5" customWidth="1"/>
    <col min="23" max="23" width="20.33203125" customWidth="1"/>
  </cols>
  <sheetData>
    <row r="1" spans="1:29" ht="22" thickBot="1" x14ac:dyDescent="0.3">
      <c r="A1" s="139" t="s">
        <v>101</v>
      </c>
      <c r="B1" s="59"/>
      <c r="C1" s="60" t="s">
        <v>43</v>
      </c>
      <c r="D1" s="60" t="s">
        <v>112</v>
      </c>
      <c r="E1" s="61" t="s">
        <v>107</v>
      </c>
      <c r="F1" s="62" t="s">
        <v>134</v>
      </c>
      <c r="G1" s="142" t="s">
        <v>102</v>
      </c>
      <c r="H1" s="143"/>
      <c r="I1" s="143"/>
      <c r="J1" s="124"/>
      <c r="K1" s="123" t="s">
        <v>101</v>
      </c>
      <c r="L1" s="124"/>
      <c r="M1" s="63" t="s">
        <v>105</v>
      </c>
      <c r="N1" s="64" t="s">
        <v>101</v>
      </c>
      <c r="O1" s="65" t="s">
        <v>152</v>
      </c>
      <c r="P1" s="127" t="s">
        <v>101</v>
      </c>
      <c r="Q1" s="130" t="s">
        <v>104</v>
      </c>
      <c r="R1" s="138"/>
      <c r="S1" s="131"/>
      <c r="T1" s="123" t="s">
        <v>101</v>
      </c>
      <c r="U1" s="124"/>
      <c r="V1" s="49" t="s">
        <v>149</v>
      </c>
      <c r="W1" s="127" t="s">
        <v>101</v>
      </c>
      <c r="X1" s="130" t="s">
        <v>104</v>
      </c>
      <c r="Y1" s="138"/>
      <c r="Z1" s="131"/>
      <c r="AA1" s="123" t="s">
        <v>101</v>
      </c>
      <c r="AB1" s="124"/>
      <c r="AC1" s="49" t="s">
        <v>149</v>
      </c>
    </row>
    <row r="2" spans="1:29" ht="22" thickBot="1" x14ac:dyDescent="0.3">
      <c r="A2" s="140"/>
      <c r="B2" s="27"/>
      <c r="C2" s="27"/>
      <c r="D2" s="27"/>
      <c r="E2" s="27"/>
      <c r="F2" s="27"/>
      <c r="G2" s="66" t="s">
        <v>40</v>
      </c>
      <c r="H2" s="67" t="s">
        <v>39</v>
      </c>
      <c r="I2" s="68" t="s">
        <v>38</v>
      </c>
      <c r="J2" s="69" t="s">
        <v>135</v>
      </c>
      <c r="K2" s="70" t="s">
        <v>141</v>
      </c>
      <c r="L2" s="51" t="s">
        <v>142</v>
      </c>
      <c r="M2" s="50" t="s">
        <v>148</v>
      </c>
      <c r="N2" s="71" t="s">
        <v>142</v>
      </c>
      <c r="O2" s="72"/>
      <c r="P2" s="128"/>
      <c r="Q2" s="50" t="s">
        <v>143</v>
      </c>
      <c r="R2" s="50" t="s">
        <v>144</v>
      </c>
      <c r="S2" s="50" t="s">
        <v>145</v>
      </c>
      <c r="T2" s="51" t="s">
        <v>147</v>
      </c>
      <c r="U2" s="51" t="s">
        <v>142</v>
      </c>
      <c r="V2" s="52"/>
      <c r="W2" s="128"/>
      <c r="X2" s="50" t="s">
        <v>143</v>
      </c>
      <c r="Y2" s="50" t="s">
        <v>144</v>
      </c>
      <c r="Z2" s="50" t="s">
        <v>145</v>
      </c>
      <c r="AA2" s="51" t="s">
        <v>147</v>
      </c>
      <c r="AB2" s="51" t="s">
        <v>142</v>
      </c>
      <c r="AC2" s="52"/>
    </row>
    <row r="3" spans="1:29" ht="22" thickBot="1" x14ac:dyDescent="0.3">
      <c r="A3" s="141"/>
      <c r="B3" s="73" t="s">
        <v>1</v>
      </c>
      <c r="C3" s="73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53"/>
      <c r="P3" s="129"/>
      <c r="Q3" s="27"/>
      <c r="R3" s="27"/>
      <c r="S3" s="27"/>
      <c r="T3" s="27"/>
      <c r="U3" s="27"/>
      <c r="V3" s="53"/>
      <c r="W3" s="129"/>
      <c r="X3" s="27"/>
      <c r="Y3" s="27"/>
      <c r="Z3" s="27"/>
      <c r="AA3" s="27"/>
      <c r="AB3" s="27"/>
      <c r="AC3" s="53"/>
    </row>
    <row r="4" spans="1:29" ht="21" x14ac:dyDescent="0.25">
      <c r="A4" s="125" t="s">
        <v>150</v>
      </c>
      <c r="B4" s="27" t="s">
        <v>8</v>
      </c>
      <c r="C4" s="27" t="s">
        <v>114</v>
      </c>
      <c r="D4" s="27" t="s">
        <v>138</v>
      </c>
      <c r="E4" s="27">
        <v>17</v>
      </c>
      <c r="F4" s="27" t="s">
        <v>40</v>
      </c>
      <c r="G4" s="27">
        <v>8</v>
      </c>
      <c r="H4" s="27">
        <v>3</v>
      </c>
      <c r="I4" s="27">
        <v>0</v>
      </c>
      <c r="J4" s="27">
        <v>0.47059000000000001</v>
      </c>
      <c r="K4" s="27" t="s">
        <v>139</v>
      </c>
      <c r="L4" s="27" t="s">
        <v>161</v>
      </c>
      <c r="M4" s="27" t="s">
        <v>137</v>
      </c>
      <c r="N4" s="27" t="s">
        <v>140</v>
      </c>
      <c r="O4" s="54" t="s">
        <v>41</v>
      </c>
      <c r="P4" s="125" t="s">
        <v>31</v>
      </c>
      <c r="Q4" s="80"/>
      <c r="R4" s="80"/>
      <c r="S4" s="80"/>
      <c r="T4" s="80"/>
      <c r="U4" s="80"/>
      <c r="V4" s="54"/>
      <c r="W4" s="125" t="s">
        <v>32</v>
      </c>
      <c r="X4" s="80"/>
      <c r="Y4" s="80"/>
      <c r="Z4" s="80"/>
      <c r="AA4" s="80"/>
      <c r="AB4" s="80"/>
      <c r="AC4" s="54"/>
    </row>
    <row r="5" spans="1:29" ht="21" x14ac:dyDescent="0.25">
      <c r="A5" s="126"/>
      <c r="B5" s="27" t="s">
        <v>9</v>
      </c>
      <c r="C5" s="27" t="s">
        <v>114</v>
      </c>
      <c r="D5" s="27" t="s">
        <v>138</v>
      </c>
      <c r="E5" s="27">
        <v>17</v>
      </c>
      <c r="F5" s="27" t="s">
        <v>40</v>
      </c>
      <c r="G5" s="27">
        <v>8</v>
      </c>
      <c r="H5" s="27">
        <v>3</v>
      </c>
      <c r="I5" s="27">
        <v>0</v>
      </c>
      <c r="J5" s="27">
        <v>0.47059000000000001</v>
      </c>
      <c r="K5" s="27" t="s">
        <v>139</v>
      </c>
      <c r="L5" s="27" t="s">
        <v>161</v>
      </c>
      <c r="M5" s="27" t="s">
        <v>137</v>
      </c>
      <c r="N5" s="27" t="s">
        <v>140</v>
      </c>
      <c r="O5" s="54" t="s">
        <v>41</v>
      </c>
      <c r="P5" s="126"/>
      <c r="Q5" s="80"/>
      <c r="R5" s="80"/>
      <c r="S5" s="80"/>
      <c r="T5" s="80"/>
      <c r="U5" s="80"/>
      <c r="V5" s="54"/>
      <c r="W5" s="126"/>
      <c r="X5" s="80"/>
      <c r="Y5" s="80"/>
      <c r="Z5" s="80"/>
      <c r="AA5" s="80"/>
      <c r="AB5" s="80"/>
      <c r="AC5" s="54"/>
    </row>
    <row r="6" spans="1:29" ht="21" x14ac:dyDescent="0.25">
      <c r="A6" s="126"/>
      <c r="B6" s="12" t="s">
        <v>8</v>
      </c>
      <c r="C6" s="12" t="s">
        <v>113</v>
      </c>
      <c r="D6" s="12" t="s">
        <v>138</v>
      </c>
      <c r="E6" s="12">
        <v>6</v>
      </c>
      <c r="F6" s="12" t="s">
        <v>40</v>
      </c>
      <c r="G6" s="12">
        <v>5</v>
      </c>
      <c r="H6" s="12">
        <v>1</v>
      </c>
      <c r="I6" s="12">
        <v>0</v>
      </c>
      <c r="J6" s="12">
        <f t="shared" ref="J6:J9" si="0">G6/E6</f>
        <v>0.83333333333333337</v>
      </c>
      <c r="K6" s="12" t="s">
        <v>136</v>
      </c>
      <c r="L6" s="12" t="s">
        <v>158</v>
      </c>
      <c r="M6" s="12" t="s">
        <v>137</v>
      </c>
      <c r="N6" s="12" t="s">
        <v>140</v>
      </c>
      <c r="O6" s="40" t="s">
        <v>39</v>
      </c>
      <c r="P6" s="126"/>
      <c r="Q6" s="80"/>
      <c r="R6" s="80"/>
      <c r="S6" s="80"/>
      <c r="T6" s="80"/>
      <c r="U6" s="80"/>
      <c r="V6" s="54"/>
      <c r="W6" s="126"/>
      <c r="X6" s="80"/>
      <c r="Y6" s="80"/>
      <c r="Z6" s="80"/>
      <c r="AA6" s="80"/>
      <c r="AB6" s="80"/>
      <c r="AC6" s="54"/>
    </row>
    <row r="7" spans="1:29" ht="21" x14ac:dyDescent="0.25">
      <c r="A7" s="126"/>
      <c r="B7" s="12" t="s">
        <v>9</v>
      </c>
      <c r="C7" s="12" t="s">
        <v>113</v>
      </c>
      <c r="D7" s="12" t="s">
        <v>138</v>
      </c>
      <c r="E7" s="12">
        <v>6</v>
      </c>
      <c r="F7" s="12" t="s">
        <v>40</v>
      </c>
      <c r="G7" s="12">
        <v>5</v>
      </c>
      <c r="H7" s="12">
        <v>1</v>
      </c>
      <c r="I7" s="12">
        <v>0</v>
      </c>
      <c r="J7" s="12">
        <f t="shared" si="0"/>
        <v>0.83333333333333337</v>
      </c>
      <c r="K7" s="12" t="s">
        <v>136</v>
      </c>
      <c r="L7" s="12" t="s">
        <v>158</v>
      </c>
      <c r="M7" s="12" t="s">
        <v>137</v>
      </c>
      <c r="N7" s="12" t="s">
        <v>140</v>
      </c>
      <c r="O7" s="40" t="s">
        <v>39</v>
      </c>
      <c r="P7" s="126"/>
      <c r="Q7" s="80"/>
      <c r="R7" s="80"/>
      <c r="S7" s="80"/>
      <c r="T7" s="80"/>
      <c r="U7" s="80"/>
      <c r="V7" s="54"/>
      <c r="W7" s="126"/>
      <c r="X7" s="80"/>
      <c r="Y7" s="80"/>
      <c r="Z7" s="80"/>
      <c r="AA7" s="80"/>
      <c r="AB7" s="80"/>
      <c r="AC7" s="54"/>
    </row>
    <row r="8" spans="1:29" ht="21" x14ac:dyDescent="0.25">
      <c r="A8" s="126"/>
      <c r="B8" s="12" t="s">
        <v>8</v>
      </c>
      <c r="C8" s="12" t="s">
        <v>115</v>
      </c>
      <c r="D8" s="12" t="s">
        <v>138</v>
      </c>
      <c r="E8" s="12">
        <v>5</v>
      </c>
      <c r="F8" s="12" t="s">
        <v>40</v>
      </c>
      <c r="G8" s="12">
        <v>1</v>
      </c>
      <c r="H8" s="12">
        <v>3</v>
      </c>
      <c r="I8" s="12">
        <v>1</v>
      </c>
      <c r="J8" s="12">
        <f t="shared" si="0"/>
        <v>0.2</v>
      </c>
      <c r="K8" s="12" t="s">
        <v>137</v>
      </c>
      <c r="L8" s="12" t="s">
        <v>161</v>
      </c>
      <c r="M8" s="12" t="s">
        <v>137</v>
      </c>
      <c r="N8" s="12" t="s">
        <v>140</v>
      </c>
      <c r="O8" s="40" t="s">
        <v>41</v>
      </c>
      <c r="P8" s="126"/>
      <c r="Q8" s="80"/>
      <c r="R8" s="80"/>
      <c r="S8" s="80"/>
      <c r="T8" s="80"/>
      <c r="U8" s="80"/>
      <c r="V8" s="54"/>
      <c r="W8" s="126"/>
      <c r="X8" s="80"/>
      <c r="Y8" s="80"/>
      <c r="Z8" s="80"/>
      <c r="AA8" s="80"/>
      <c r="AB8" s="80"/>
      <c r="AC8" s="54"/>
    </row>
    <row r="9" spans="1:29" ht="21" x14ac:dyDescent="0.25">
      <c r="A9" s="126"/>
      <c r="B9" s="12" t="s">
        <v>9</v>
      </c>
      <c r="C9" s="12" t="s">
        <v>115</v>
      </c>
      <c r="D9" s="12" t="s">
        <v>138</v>
      </c>
      <c r="E9" s="12">
        <v>5</v>
      </c>
      <c r="F9" s="12" t="s">
        <v>40</v>
      </c>
      <c r="G9" s="12">
        <v>1</v>
      </c>
      <c r="H9" s="12">
        <v>3</v>
      </c>
      <c r="I9" s="12">
        <v>1</v>
      </c>
      <c r="J9" s="12">
        <f t="shared" si="0"/>
        <v>0.2</v>
      </c>
      <c r="K9" s="12" t="s">
        <v>137</v>
      </c>
      <c r="L9" s="12" t="s">
        <v>161</v>
      </c>
      <c r="M9" s="12" t="s">
        <v>137</v>
      </c>
      <c r="N9" s="12" t="s">
        <v>140</v>
      </c>
      <c r="O9" s="40" t="s">
        <v>41</v>
      </c>
      <c r="P9" s="126"/>
      <c r="Q9" s="80"/>
      <c r="R9" s="80"/>
      <c r="S9" s="80"/>
      <c r="T9" s="80"/>
      <c r="U9" s="80"/>
      <c r="V9" s="54"/>
      <c r="W9" s="126"/>
      <c r="X9" s="80"/>
      <c r="Y9" s="80"/>
      <c r="Z9" s="80"/>
      <c r="AA9" s="80"/>
      <c r="AB9" s="80"/>
      <c r="AC9" s="54"/>
    </row>
    <row r="10" spans="1:29" ht="21" x14ac:dyDescent="0.25">
      <c r="A10" s="126"/>
      <c r="B10" s="27" t="s">
        <v>8</v>
      </c>
      <c r="C10" s="27" t="s">
        <v>116</v>
      </c>
      <c r="D10" s="27" t="s">
        <v>186</v>
      </c>
      <c r="E10" s="27">
        <v>20</v>
      </c>
      <c r="F10" s="27" t="s">
        <v>40</v>
      </c>
      <c r="G10" s="27">
        <v>4</v>
      </c>
      <c r="H10" s="27" t="s">
        <v>169</v>
      </c>
      <c r="I10" s="27" t="s">
        <v>169</v>
      </c>
      <c r="J10" s="27">
        <v>0.2</v>
      </c>
      <c r="K10" s="27" t="s">
        <v>136</v>
      </c>
      <c r="L10" s="27" t="s">
        <v>158</v>
      </c>
      <c r="M10" s="27" t="s">
        <v>169</v>
      </c>
      <c r="N10" s="27" t="s">
        <v>161</v>
      </c>
      <c r="O10" s="54" t="s">
        <v>40</v>
      </c>
      <c r="P10" s="126"/>
      <c r="Q10" s="27" t="s">
        <v>136</v>
      </c>
      <c r="R10" s="27" t="s">
        <v>170</v>
      </c>
      <c r="S10" s="27" t="s">
        <v>171</v>
      </c>
      <c r="T10" s="27">
        <v>1</v>
      </c>
      <c r="U10" s="27" t="s">
        <v>161</v>
      </c>
      <c r="V10" s="54" t="s">
        <v>41</v>
      </c>
      <c r="W10" s="126"/>
      <c r="X10" s="27" t="s">
        <v>136</v>
      </c>
      <c r="Y10" s="27" t="s">
        <v>170</v>
      </c>
      <c r="Z10" s="27" t="s">
        <v>171</v>
      </c>
      <c r="AA10" s="27">
        <v>1</v>
      </c>
      <c r="AB10" s="27" t="s">
        <v>161</v>
      </c>
      <c r="AC10" s="54" t="s">
        <v>41</v>
      </c>
    </row>
    <row r="11" spans="1:29" ht="21" x14ac:dyDescent="0.25">
      <c r="A11" s="126"/>
      <c r="B11" s="81" t="s">
        <v>9</v>
      </c>
      <c r="C11" s="81" t="s">
        <v>116</v>
      </c>
      <c r="D11" s="81"/>
      <c r="E11" s="81">
        <v>20</v>
      </c>
      <c r="F11" s="81"/>
      <c r="G11" s="81"/>
      <c r="H11" s="81"/>
      <c r="I11" s="81"/>
      <c r="J11" s="81"/>
      <c r="K11" s="81"/>
      <c r="L11" s="81"/>
      <c r="M11" s="81"/>
      <c r="N11" s="81"/>
      <c r="O11" s="40"/>
      <c r="P11" s="126"/>
      <c r="Q11" s="80"/>
      <c r="R11" s="80"/>
      <c r="S11" s="80"/>
      <c r="T11" s="80"/>
      <c r="U11" s="80"/>
      <c r="V11" s="54"/>
      <c r="W11" s="126"/>
      <c r="X11" s="80"/>
      <c r="Y11" s="80"/>
      <c r="Z11" s="80"/>
      <c r="AA11" s="80"/>
      <c r="AB11" s="80"/>
      <c r="AC11" s="54"/>
    </row>
    <row r="12" spans="1:29" ht="21" x14ac:dyDescent="0.25">
      <c r="A12" s="126"/>
      <c r="B12" s="12" t="s">
        <v>8</v>
      </c>
      <c r="C12" s="12" t="s">
        <v>117</v>
      </c>
      <c r="D12" s="12" t="s">
        <v>138</v>
      </c>
      <c r="E12" s="12">
        <v>8</v>
      </c>
      <c r="F12" s="12" t="s">
        <v>40</v>
      </c>
      <c r="G12" s="12">
        <v>5</v>
      </c>
      <c r="H12" s="12">
        <v>3</v>
      </c>
      <c r="I12" s="12">
        <v>0</v>
      </c>
      <c r="J12" s="12">
        <f>G12/E12</f>
        <v>0.625</v>
      </c>
      <c r="K12" s="12" t="s">
        <v>137</v>
      </c>
      <c r="L12" s="12" t="s">
        <v>158</v>
      </c>
      <c r="M12" s="12" t="s">
        <v>169</v>
      </c>
      <c r="N12" s="12" t="s">
        <v>161</v>
      </c>
      <c r="O12" s="40" t="s">
        <v>40</v>
      </c>
      <c r="P12" s="126"/>
      <c r="Q12" s="80"/>
      <c r="R12" s="80"/>
      <c r="S12" s="80"/>
      <c r="T12" s="80"/>
      <c r="U12" s="80"/>
      <c r="V12" s="54"/>
      <c r="W12" s="126"/>
      <c r="X12" s="80"/>
      <c r="Y12" s="80"/>
      <c r="Z12" s="80"/>
      <c r="AA12" s="80"/>
      <c r="AB12" s="80"/>
      <c r="AC12" s="54"/>
    </row>
    <row r="13" spans="1:29" ht="21" x14ac:dyDescent="0.25">
      <c r="A13" s="126"/>
      <c r="B13" s="12" t="s">
        <v>9</v>
      </c>
      <c r="C13" s="12" t="s">
        <v>117</v>
      </c>
      <c r="D13" s="12" t="s">
        <v>138</v>
      </c>
      <c r="E13" s="12">
        <v>8</v>
      </c>
      <c r="F13" s="12" t="s">
        <v>40</v>
      </c>
      <c r="G13" s="12">
        <v>5</v>
      </c>
      <c r="H13" s="12">
        <v>3</v>
      </c>
      <c r="I13" s="12">
        <v>0</v>
      </c>
      <c r="J13" s="12">
        <f t="shared" ref="J13:J17" si="1">G13/E13</f>
        <v>0.625</v>
      </c>
      <c r="K13" s="12" t="s">
        <v>137</v>
      </c>
      <c r="L13" s="12" t="s">
        <v>158</v>
      </c>
      <c r="M13" s="12" t="s">
        <v>169</v>
      </c>
      <c r="N13" s="12" t="s">
        <v>161</v>
      </c>
      <c r="O13" s="40" t="s">
        <v>40</v>
      </c>
      <c r="P13" s="126"/>
      <c r="Q13" s="80"/>
      <c r="R13" s="80"/>
      <c r="S13" s="80"/>
      <c r="T13" s="80"/>
      <c r="U13" s="80"/>
      <c r="V13" s="54"/>
      <c r="W13" s="126"/>
      <c r="X13" s="80"/>
      <c r="Y13" s="80"/>
      <c r="Z13" s="80"/>
      <c r="AA13" s="80"/>
      <c r="AB13" s="80"/>
      <c r="AC13" s="54"/>
    </row>
    <row r="14" spans="1:29" ht="21" x14ac:dyDescent="0.25">
      <c r="A14" s="126"/>
      <c r="B14" s="12" t="s">
        <v>8</v>
      </c>
      <c r="C14" s="12" t="s">
        <v>118</v>
      </c>
      <c r="D14" s="12" t="s">
        <v>138</v>
      </c>
      <c r="E14" s="12">
        <v>17</v>
      </c>
      <c r="F14" s="12" t="s">
        <v>40</v>
      </c>
      <c r="G14" s="12">
        <v>6</v>
      </c>
      <c r="H14" s="12">
        <v>9</v>
      </c>
      <c r="I14" s="12">
        <v>2</v>
      </c>
      <c r="J14" s="12">
        <f t="shared" si="1"/>
        <v>0.35294117647058826</v>
      </c>
      <c r="K14" s="12" t="s">
        <v>136</v>
      </c>
      <c r="L14" s="12" t="s">
        <v>161</v>
      </c>
      <c r="M14" s="12" t="s">
        <v>169</v>
      </c>
      <c r="N14" s="12" t="s">
        <v>161</v>
      </c>
      <c r="O14" s="40" t="s">
        <v>41</v>
      </c>
      <c r="P14" s="126"/>
      <c r="Q14" s="80"/>
      <c r="R14" s="80"/>
      <c r="S14" s="80"/>
      <c r="T14" s="80"/>
      <c r="U14" s="80"/>
      <c r="V14" s="54"/>
      <c r="W14" s="126"/>
      <c r="X14" s="27" t="s">
        <v>136</v>
      </c>
      <c r="Y14" s="27" t="s">
        <v>168</v>
      </c>
      <c r="Z14" s="27" t="s">
        <v>136</v>
      </c>
      <c r="AA14" s="27">
        <v>2</v>
      </c>
      <c r="AB14" s="27" t="s">
        <v>140</v>
      </c>
      <c r="AC14" s="54" t="s">
        <v>41</v>
      </c>
    </row>
    <row r="15" spans="1:29" ht="21" x14ac:dyDescent="0.25">
      <c r="A15" s="126"/>
      <c r="B15" s="12" t="s">
        <v>9</v>
      </c>
      <c r="C15" s="12" t="s">
        <v>118</v>
      </c>
      <c r="D15" s="12" t="s">
        <v>138</v>
      </c>
      <c r="E15" s="12">
        <v>17</v>
      </c>
      <c r="F15" s="12" t="s">
        <v>40</v>
      </c>
      <c r="G15" s="12">
        <v>6</v>
      </c>
      <c r="H15" s="12">
        <v>9</v>
      </c>
      <c r="I15" s="12">
        <v>2</v>
      </c>
      <c r="J15" s="12">
        <f t="shared" si="1"/>
        <v>0.35294117647058826</v>
      </c>
      <c r="K15" s="12" t="s">
        <v>136</v>
      </c>
      <c r="L15" s="12" t="s">
        <v>161</v>
      </c>
      <c r="M15" s="12" t="s">
        <v>169</v>
      </c>
      <c r="N15" s="12" t="s">
        <v>161</v>
      </c>
      <c r="O15" s="40" t="s">
        <v>41</v>
      </c>
      <c r="P15" s="126"/>
      <c r="Q15" s="80"/>
      <c r="R15" s="80"/>
      <c r="S15" s="80"/>
      <c r="T15" s="80"/>
      <c r="U15" s="80"/>
      <c r="V15" s="54"/>
      <c r="W15" s="126"/>
      <c r="X15" s="27" t="s">
        <v>136</v>
      </c>
      <c r="Y15" s="27" t="s">
        <v>168</v>
      </c>
      <c r="Z15" s="27" t="s">
        <v>136</v>
      </c>
      <c r="AA15" s="27">
        <v>2</v>
      </c>
      <c r="AB15" s="27" t="s">
        <v>140</v>
      </c>
      <c r="AC15" s="54" t="s">
        <v>41</v>
      </c>
    </row>
    <row r="16" spans="1:29" ht="21" x14ac:dyDescent="0.25">
      <c r="A16" s="126"/>
      <c r="B16" s="12" t="s">
        <v>8</v>
      </c>
      <c r="C16" s="12" t="s">
        <v>119</v>
      </c>
      <c r="D16" s="12" t="s">
        <v>138</v>
      </c>
      <c r="E16" s="12">
        <v>11</v>
      </c>
      <c r="F16" s="12" t="s">
        <v>40</v>
      </c>
      <c r="G16" s="12">
        <v>4</v>
      </c>
      <c r="H16" s="12">
        <v>0</v>
      </c>
      <c r="I16" s="12">
        <v>7</v>
      </c>
      <c r="J16" s="12">
        <f t="shared" si="1"/>
        <v>0.36363636363636365</v>
      </c>
      <c r="K16" s="12" t="s">
        <v>137</v>
      </c>
      <c r="L16" s="12" t="s">
        <v>161</v>
      </c>
      <c r="M16" s="12" t="s">
        <v>137</v>
      </c>
      <c r="N16" s="12" t="s">
        <v>140</v>
      </c>
      <c r="O16" s="40" t="s">
        <v>41</v>
      </c>
      <c r="P16" s="126"/>
      <c r="Q16" s="80"/>
      <c r="R16" s="80"/>
      <c r="S16" s="80"/>
      <c r="T16" s="80"/>
      <c r="U16" s="80"/>
      <c r="V16" s="54"/>
      <c r="W16" s="126"/>
      <c r="X16" s="80"/>
      <c r="Y16" s="80"/>
      <c r="Z16" s="80"/>
      <c r="AA16" s="80"/>
      <c r="AB16" s="80"/>
      <c r="AC16" s="54"/>
    </row>
    <row r="17" spans="1:29" ht="21" x14ac:dyDescent="0.25">
      <c r="A17" s="126"/>
      <c r="B17" s="12" t="s">
        <v>9</v>
      </c>
      <c r="C17" s="12" t="s">
        <v>119</v>
      </c>
      <c r="D17" s="12" t="s">
        <v>138</v>
      </c>
      <c r="E17" s="12">
        <v>11</v>
      </c>
      <c r="F17" s="12" t="s">
        <v>40</v>
      </c>
      <c r="G17" s="12">
        <v>4</v>
      </c>
      <c r="H17" s="12">
        <v>0</v>
      </c>
      <c r="I17" s="12">
        <v>7</v>
      </c>
      <c r="J17" s="12">
        <f t="shared" si="1"/>
        <v>0.36363636363636365</v>
      </c>
      <c r="K17" s="12" t="s">
        <v>137</v>
      </c>
      <c r="L17" s="12" t="s">
        <v>161</v>
      </c>
      <c r="M17" s="12" t="s">
        <v>137</v>
      </c>
      <c r="N17" s="12" t="s">
        <v>140</v>
      </c>
      <c r="O17" s="40" t="s">
        <v>41</v>
      </c>
      <c r="P17" s="126"/>
      <c r="Q17" s="80"/>
      <c r="R17" s="80"/>
      <c r="S17" s="80"/>
      <c r="T17" s="80"/>
      <c r="U17" s="80"/>
      <c r="V17" s="54"/>
      <c r="W17" s="126"/>
      <c r="X17" s="80"/>
      <c r="Y17" s="80"/>
      <c r="Z17" s="80"/>
      <c r="AA17" s="80"/>
      <c r="AB17" s="80"/>
      <c r="AC17" s="54"/>
    </row>
    <row r="18" spans="1:29" ht="21" x14ac:dyDescent="0.25">
      <c r="A18" s="126"/>
      <c r="B18" s="27" t="s">
        <v>8</v>
      </c>
      <c r="C18" s="27" t="s">
        <v>120</v>
      </c>
      <c r="D18" s="27" t="s">
        <v>138</v>
      </c>
      <c r="E18" s="27">
        <v>57</v>
      </c>
      <c r="F18" s="27" t="s">
        <v>40</v>
      </c>
      <c r="G18" s="27">
        <v>40</v>
      </c>
      <c r="H18" s="27">
        <v>9</v>
      </c>
      <c r="I18" s="27">
        <v>0</v>
      </c>
      <c r="J18" s="27">
        <v>0.70175438599999995</v>
      </c>
      <c r="K18" s="27" t="s">
        <v>136</v>
      </c>
      <c r="L18" s="27" t="s">
        <v>158</v>
      </c>
      <c r="M18" s="27" t="s">
        <v>136</v>
      </c>
      <c r="N18" s="27" t="s">
        <v>161</v>
      </c>
      <c r="O18" s="54" t="s">
        <v>40</v>
      </c>
      <c r="P18" s="126"/>
      <c r="Q18" s="80"/>
      <c r="R18" s="80"/>
      <c r="S18" s="80"/>
      <c r="T18" s="80"/>
      <c r="U18" s="80"/>
      <c r="V18" s="54"/>
      <c r="W18" s="126"/>
      <c r="X18" s="80"/>
      <c r="Y18" s="80"/>
      <c r="Z18" s="80"/>
      <c r="AA18" s="80"/>
      <c r="AB18" s="80"/>
      <c r="AC18" s="54"/>
    </row>
    <row r="19" spans="1:29" ht="21" x14ac:dyDescent="0.25">
      <c r="A19" s="126"/>
      <c r="B19" s="27" t="s">
        <v>9</v>
      </c>
      <c r="C19" s="27" t="s">
        <v>120</v>
      </c>
      <c r="D19" s="27" t="s">
        <v>138</v>
      </c>
      <c r="E19" s="27">
        <v>57</v>
      </c>
      <c r="F19" s="27" t="s">
        <v>40</v>
      </c>
      <c r="G19" s="27">
        <v>40</v>
      </c>
      <c r="H19" s="27">
        <v>9</v>
      </c>
      <c r="I19" s="27">
        <v>0</v>
      </c>
      <c r="J19" s="27">
        <v>0.70175438599999995</v>
      </c>
      <c r="K19" s="27" t="s">
        <v>136</v>
      </c>
      <c r="L19" s="27" t="s">
        <v>158</v>
      </c>
      <c r="M19" s="27" t="s">
        <v>136</v>
      </c>
      <c r="N19" s="27" t="s">
        <v>161</v>
      </c>
      <c r="O19" s="54" t="s">
        <v>40</v>
      </c>
      <c r="P19" s="126"/>
      <c r="Q19" s="80"/>
      <c r="R19" s="80"/>
      <c r="S19" s="80"/>
      <c r="T19" s="80"/>
      <c r="U19" s="80"/>
      <c r="V19" s="54"/>
      <c r="W19" s="126"/>
      <c r="X19" s="80"/>
      <c r="Y19" s="80"/>
      <c r="Z19" s="80"/>
      <c r="AA19" s="80"/>
      <c r="AB19" s="80"/>
      <c r="AC19" s="54"/>
    </row>
    <row r="20" spans="1:29" ht="21" x14ac:dyDescent="0.25">
      <c r="A20" s="126"/>
      <c r="B20" s="12" t="s">
        <v>8</v>
      </c>
      <c r="C20" s="12" t="s">
        <v>121</v>
      </c>
      <c r="D20" s="12" t="s">
        <v>138</v>
      </c>
      <c r="E20" s="12">
        <v>7</v>
      </c>
      <c r="F20" s="12" t="s">
        <v>40</v>
      </c>
      <c r="G20" s="12">
        <v>1</v>
      </c>
      <c r="H20" s="12">
        <v>8</v>
      </c>
      <c r="I20" s="12">
        <v>1</v>
      </c>
      <c r="J20" s="12">
        <f>G20/E20</f>
        <v>0.14285714285714285</v>
      </c>
      <c r="K20" s="12" t="s">
        <v>137</v>
      </c>
      <c r="L20" s="12" t="s">
        <v>161</v>
      </c>
      <c r="M20" s="12" t="s">
        <v>169</v>
      </c>
      <c r="N20" s="12" t="s">
        <v>161</v>
      </c>
      <c r="O20" s="40" t="s">
        <v>41</v>
      </c>
      <c r="P20" s="126"/>
      <c r="Q20" s="80"/>
      <c r="R20" s="80"/>
      <c r="S20" s="80"/>
      <c r="T20" s="80"/>
      <c r="U20" s="80"/>
      <c r="V20" s="54"/>
      <c r="W20" s="126"/>
      <c r="X20" s="80"/>
      <c r="Y20" s="80"/>
      <c r="Z20" s="80"/>
      <c r="AA20" s="80"/>
      <c r="AB20" s="80"/>
      <c r="AC20" s="54"/>
    </row>
    <row r="21" spans="1:29" ht="21" x14ac:dyDescent="0.25">
      <c r="A21" s="126"/>
      <c r="B21" s="12" t="s">
        <v>9</v>
      </c>
      <c r="C21" s="12" t="s">
        <v>121</v>
      </c>
      <c r="D21" s="12" t="s">
        <v>138</v>
      </c>
      <c r="E21" s="12">
        <v>7</v>
      </c>
      <c r="F21" s="12" t="s">
        <v>40</v>
      </c>
      <c r="G21" s="12">
        <v>1</v>
      </c>
      <c r="H21" s="12">
        <v>8</v>
      </c>
      <c r="I21" s="12">
        <v>1</v>
      </c>
      <c r="J21" s="12">
        <f t="shared" ref="J21:J23" si="2">G21/E21</f>
        <v>0.14285714285714285</v>
      </c>
      <c r="K21" s="12" t="s">
        <v>137</v>
      </c>
      <c r="L21" s="12" t="s">
        <v>161</v>
      </c>
      <c r="M21" s="12" t="s">
        <v>169</v>
      </c>
      <c r="N21" s="12" t="s">
        <v>161</v>
      </c>
      <c r="O21" s="40" t="s">
        <v>41</v>
      </c>
      <c r="P21" s="126"/>
      <c r="Q21" s="80"/>
      <c r="R21" s="80"/>
      <c r="S21" s="80"/>
      <c r="T21" s="80"/>
      <c r="U21" s="80"/>
      <c r="V21" s="54"/>
      <c r="W21" s="126"/>
      <c r="X21" s="80"/>
      <c r="Y21" s="80"/>
      <c r="Z21" s="80"/>
      <c r="AA21" s="80"/>
      <c r="AB21" s="80"/>
      <c r="AC21" s="54"/>
    </row>
    <row r="22" spans="1:29" ht="21" x14ac:dyDescent="0.25">
      <c r="A22" s="126"/>
      <c r="B22" s="12" t="s">
        <v>8</v>
      </c>
      <c r="C22" s="12" t="s">
        <v>122</v>
      </c>
      <c r="D22" s="12" t="s">
        <v>176</v>
      </c>
      <c r="E22" s="12">
        <v>32</v>
      </c>
      <c r="F22" s="12" t="s">
        <v>40</v>
      </c>
      <c r="G22" s="12">
        <v>9</v>
      </c>
      <c r="H22" s="12">
        <v>1</v>
      </c>
      <c r="I22" s="12">
        <v>22</v>
      </c>
      <c r="J22" s="12">
        <f t="shared" si="2"/>
        <v>0.28125</v>
      </c>
      <c r="K22" s="12" t="s">
        <v>137</v>
      </c>
      <c r="L22" s="12" t="s">
        <v>161</v>
      </c>
      <c r="M22" s="12" t="s">
        <v>169</v>
      </c>
      <c r="N22" s="12" t="s">
        <v>140</v>
      </c>
      <c r="O22" s="40" t="s">
        <v>41</v>
      </c>
      <c r="P22" s="126"/>
      <c r="Q22" s="27" t="s">
        <v>136</v>
      </c>
      <c r="R22" s="27" t="s">
        <v>136</v>
      </c>
      <c r="S22" s="27" t="s">
        <v>136</v>
      </c>
      <c r="T22" s="27">
        <v>3</v>
      </c>
      <c r="U22" s="27" t="s">
        <v>158</v>
      </c>
      <c r="V22" s="54" t="s">
        <v>40</v>
      </c>
      <c r="W22" s="126"/>
      <c r="X22" s="27" t="s">
        <v>136</v>
      </c>
      <c r="Y22" s="27" t="s">
        <v>136</v>
      </c>
      <c r="Z22" s="27" t="s">
        <v>136</v>
      </c>
      <c r="AA22" s="27">
        <v>3</v>
      </c>
      <c r="AB22" s="27" t="s">
        <v>158</v>
      </c>
      <c r="AC22" s="54" t="s">
        <v>40</v>
      </c>
    </row>
    <row r="23" spans="1:29" ht="21" x14ac:dyDescent="0.25">
      <c r="A23" s="55"/>
      <c r="B23" s="12" t="s">
        <v>9</v>
      </c>
      <c r="C23" s="12" t="s">
        <v>122</v>
      </c>
      <c r="D23" s="12" t="s">
        <v>176</v>
      </c>
      <c r="E23" s="12">
        <v>32</v>
      </c>
      <c r="F23" s="12" t="s">
        <v>40</v>
      </c>
      <c r="G23" s="12">
        <v>9</v>
      </c>
      <c r="H23" s="12">
        <v>1</v>
      </c>
      <c r="I23" s="12">
        <v>22</v>
      </c>
      <c r="J23" s="12">
        <f t="shared" si="2"/>
        <v>0.28125</v>
      </c>
      <c r="K23" s="12" t="s">
        <v>137</v>
      </c>
      <c r="L23" s="12" t="s">
        <v>161</v>
      </c>
      <c r="M23" s="12" t="s">
        <v>137</v>
      </c>
      <c r="N23" s="12" t="s">
        <v>140</v>
      </c>
      <c r="O23" s="40" t="s">
        <v>41</v>
      </c>
      <c r="P23" s="74"/>
      <c r="Q23" s="27" t="s">
        <v>136</v>
      </c>
      <c r="R23" s="27" t="s">
        <v>136</v>
      </c>
      <c r="S23" s="27" t="s">
        <v>136</v>
      </c>
      <c r="T23" s="27">
        <v>3</v>
      </c>
      <c r="U23" s="27" t="s">
        <v>158</v>
      </c>
      <c r="V23" s="54" t="s">
        <v>40</v>
      </c>
      <c r="W23" s="74"/>
      <c r="X23" s="27" t="s">
        <v>136</v>
      </c>
      <c r="Y23" s="27" t="s">
        <v>136</v>
      </c>
      <c r="Z23" s="27" t="s">
        <v>136</v>
      </c>
      <c r="AA23" s="27">
        <v>3</v>
      </c>
      <c r="AB23" s="27" t="s">
        <v>158</v>
      </c>
      <c r="AC23" s="54" t="s">
        <v>40</v>
      </c>
    </row>
    <row r="24" spans="1:29" ht="21" x14ac:dyDescent="0.25">
      <c r="A24" s="56"/>
      <c r="B24" s="27" t="s">
        <v>8</v>
      </c>
      <c r="C24" s="27" t="s">
        <v>123</v>
      </c>
      <c r="D24" s="12" t="s">
        <v>138</v>
      </c>
      <c r="E24" s="27">
        <v>81</v>
      </c>
      <c r="F24" s="12" t="s">
        <v>40</v>
      </c>
      <c r="G24" s="27">
        <v>81</v>
      </c>
      <c r="H24" s="27">
        <v>0</v>
      </c>
      <c r="I24" s="27">
        <v>0</v>
      </c>
      <c r="J24" s="27">
        <f>G24/E24</f>
        <v>1</v>
      </c>
      <c r="K24" s="27" t="s">
        <v>136</v>
      </c>
      <c r="L24" s="27" t="s">
        <v>158</v>
      </c>
      <c r="M24" s="27" t="s">
        <v>137</v>
      </c>
      <c r="N24" s="27" t="s">
        <v>140</v>
      </c>
      <c r="O24" s="54" t="s">
        <v>39</v>
      </c>
      <c r="P24" s="75"/>
      <c r="Q24" s="80"/>
      <c r="R24" s="80"/>
      <c r="S24" s="80"/>
      <c r="T24" s="80"/>
      <c r="U24" s="80"/>
      <c r="V24" s="54"/>
      <c r="W24" s="75"/>
      <c r="X24" s="80"/>
      <c r="Y24" s="80"/>
      <c r="Z24" s="80"/>
      <c r="AA24" s="80"/>
      <c r="AB24" s="80"/>
      <c r="AC24" s="54"/>
    </row>
    <row r="25" spans="1:29" ht="21" x14ac:dyDescent="0.25">
      <c r="A25" s="56"/>
      <c r="B25" s="27" t="s">
        <v>9</v>
      </c>
      <c r="C25" s="27" t="s">
        <v>123</v>
      </c>
      <c r="D25" s="12" t="s">
        <v>138</v>
      </c>
      <c r="E25" s="27">
        <v>81</v>
      </c>
      <c r="F25" s="12" t="s">
        <v>40</v>
      </c>
      <c r="G25" s="27">
        <v>81</v>
      </c>
      <c r="H25" s="27">
        <v>0</v>
      </c>
      <c r="I25" s="27">
        <v>0</v>
      </c>
      <c r="J25" s="27">
        <f t="shared" ref="J25:J26" si="3">G25/E25</f>
        <v>1</v>
      </c>
      <c r="K25" s="27" t="s">
        <v>136</v>
      </c>
      <c r="L25" s="27" t="s">
        <v>158</v>
      </c>
      <c r="M25" s="27" t="s">
        <v>137</v>
      </c>
      <c r="N25" s="27" t="s">
        <v>140</v>
      </c>
      <c r="O25" s="54" t="s">
        <v>39</v>
      </c>
      <c r="P25" s="75"/>
      <c r="Q25" s="80"/>
      <c r="R25" s="80"/>
      <c r="S25" s="80"/>
      <c r="T25" s="80"/>
      <c r="U25" s="80"/>
      <c r="V25" s="54"/>
      <c r="W25" s="75"/>
      <c r="X25" s="80"/>
      <c r="Y25" s="80"/>
      <c r="Z25" s="80"/>
      <c r="AA25" s="80"/>
      <c r="AB25" s="80"/>
      <c r="AC25" s="54"/>
    </row>
    <row r="26" spans="1:29" ht="21" x14ac:dyDescent="0.25">
      <c r="A26" s="56"/>
      <c r="B26" s="12" t="s">
        <v>8</v>
      </c>
      <c r="C26" s="12" t="s">
        <v>124</v>
      </c>
      <c r="D26" s="12" t="s">
        <v>138</v>
      </c>
      <c r="E26" s="12">
        <v>7</v>
      </c>
      <c r="F26" s="12" t="s">
        <v>40</v>
      </c>
      <c r="G26" s="12">
        <v>5</v>
      </c>
      <c r="H26" s="12">
        <v>1</v>
      </c>
      <c r="I26" s="12">
        <v>0</v>
      </c>
      <c r="J26" s="12">
        <f t="shared" si="3"/>
        <v>0.7142857142857143</v>
      </c>
      <c r="K26" s="12" t="s">
        <v>136</v>
      </c>
      <c r="L26" s="12" t="s">
        <v>158</v>
      </c>
      <c r="M26" s="12" t="s">
        <v>169</v>
      </c>
      <c r="N26" s="12" t="s">
        <v>161</v>
      </c>
      <c r="O26" s="40" t="s">
        <v>40</v>
      </c>
      <c r="P26" s="75"/>
      <c r="Q26" s="80"/>
      <c r="R26" s="80"/>
      <c r="S26" s="80"/>
      <c r="T26" s="80"/>
      <c r="U26" s="80"/>
      <c r="V26" s="54"/>
      <c r="W26" s="75"/>
      <c r="X26" s="80"/>
      <c r="Y26" s="80"/>
      <c r="Z26" s="80"/>
      <c r="AA26" s="80"/>
      <c r="AB26" s="80"/>
      <c r="AC26" s="54"/>
    </row>
    <row r="27" spans="1:29" ht="21" x14ac:dyDescent="0.25">
      <c r="A27" s="56"/>
      <c r="B27" s="81" t="s">
        <v>9</v>
      </c>
      <c r="C27" s="81" t="s">
        <v>124</v>
      </c>
      <c r="D27" s="81"/>
      <c r="E27" s="81">
        <v>7</v>
      </c>
      <c r="F27" s="81" t="s">
        <v>40</v>
      </c>
      <c r="G27" s="81"/>
      <c r="H27" s="81"/>
      <c r="I27" s="81"/>
      <c r="J27" s="81"/>
      <c r="K27" s="81"/>
      <c r="L27" s="81"/>
      <c r="M27" s="81"/>
      <c r="N27" s="81"/>
      <c r="O27" s="40"/>
      <c r="P27" s="75"/>
      <c r="Q27" s="80"/>
      <c r="R27" s="80"/>
      <c r="S27" s="80"/>
      <c r="T27" s="80"/>
      <c r="U27" s="80"/>
      <c r="V27" s="54"/>
      <c r="W27" s="75"/>
      <c r="X27" s="80"/>
      <c r="Y27" s="80"/>
      <c r="Z27" s="80"/>
      <c r="AA27" s="80"/>
      <c r="AB27" s="80"/>
      <c r="AC27" s="54"/>
    </row>
    <row r="28" spans="1:29" ht="21" x14ac:dyDescent="0.25">
      <c r="A28" s="56"/>
      <c r="B28" s="12" t="s">
        <v>8</v>
      </c>
      <c r="C28" s="12" t="s">
        <v>125</v>
      </c>
      <c r="D28" s="12" t="s">
        <v>138</v>
      </c>
      <c r="E28" s="12">
        <v>16</v>
      </c>
      <c r="F28" s="12" t="s">
        <v>40</v>
      </c>
      <c r="G28" s="12">
        <v>8</v>
      </c>
      <c r="H28" s="12">
        <v>4</v>
      </c>
      <c r="I28" s="12">
        <v>4</v>
      </c>
      <c r="J28" s="12">
        <f t="shared" ref="J28:J45" si="4">G28/E28</f>
        <v>0.5</v>
      </c>
      <c r="K28" s="12" t="s">
        <v>137</v>
      </c>
      <c r="L28" s="12" t="s">
        <v>161</v>
      </c>
      <c r="M28" s="12" t="s">
        <v>169</v>
      </c>
      <c r="N28" s="12" t="s">
        <v>161</v>
      </c>
      <c r="O28" s="40" t="s">
        <v>41</v>
      </c>
      <c r="P28" s="75"/>
      <c r="Q28" s="80"/>
      <c r="R28" s="80"/>
      <c r="S28" s="80"/>
      <c r="T28" s="80"/>
      <c r="U28" s="80"/>
      <c r="V28" s="54"/>
      <c r="W28" s="75"/>
      <c r="X28" s="80"/>
      <c r="Y28" s="80"/>
      <c r="Z28" s="80"/>
      <c r="AA28" s="80"/>
      <c r="AB28" s="80"/>
      <c r="AC28" s="54"/>
    </row>
    <row r="29" spans="1:29" ht="21" x14ac:dyDescent="0.25">
      <c r="A29" s="56"/>
      <c r="B29" s="12" t="s">
        <v>9</v>
      </c>
      <c r="C29" s="12" t="s">
        <v>125</v>
      </c>
      <c r="D29" s="12" t="s">
        <v>138</v>
      </c>
      <c r="E29" s="12">
        <v>16</v>
      </c>
      <c r="F29" s="12" t="s">
        <v>40</v>
      </c>
      <c r="G29" s="12">
        <v>8</v>
      </c>
      <c r="H29" s="12">
        <v>4</v>
      </c>
      <c r="I29" s="12">
        <v>4</v>
      </c>
      <c r="J29" s="12">
        <f t="shared" si="4"/>
        <v>0.5</v>
      </c>
      <c r="K29" s="12" t="s">
        <v>137</v>
      </c>
      <c r="L29" s="12" t="s">
        <v>161</v>
      </c>
      <c r="M29" s="12" t="s">
        <v>169</v>
      </c>
      <c r="N29" s="12" t="s">
        <v>161</v>
      </c>
      <c r="O29" s="40" t="s">
        <v>41</v>
      </c>
      <c r="P29" s="75"/>
      <c r="Q29" s="80"/>
      <c r="R29" s="80"/>
      <c r="S29" s="80"/>
      <c r="T29" s="80"/>
      <c r="U29" s="80"/>
      <c r="V29" s="54"/>
      <c r="W29" s="75"/>
      <c r="X29" s="80"/>
      <c r="Y29" s="80"/>
      <c r="Z29" s="80"/>
      <c r="AA29" s="80"/>
      <c r="AB29" s="80"/>
      <c r="AC29" s="54"/>
    </row>
    <row r="30" spans="1:29" ht="21" x14ac:dyDescent="0.25">
      <c r="A30" s="56"/>
      <c r="B30" s="12" t="s">
        <v>8</v>
      </c>
      <c r="C30" s="12" t="s">
        <v>126</v>
      </c>
      <c r="D30" s="12" t="s">
        <v>138</v>
      </c>
      <c r="E30" s="12">
        <v>83</v>
      </c>
      <c r="F30" s="12" t="s">
        <v>40</v>
      </c>
      <c r="G30" s="12">
        <v>3</v>
      </c>
      <c r="H30" s="12" t="s">
        <v>139</v>
      </c>
      <c r="I30" s="12" t="s">
        <v>139</v>
      </c>
      <c r="J30" s="12">
        <f t="shared" si="4"/>
        <v>3.614457831325301E-2</v>
      </c>
      <c r="K30" s="12" t="s">
        <v>137</v>
      </c>
      <c r="L30" s="12" t="s">
        <v>161</v>
      </c>
      <c r="M30" s="12" t="s">
        <v>137</v>
      </c>
      <c r="N30" s="12" t="s">
        <v>140</v>
      </c>
      <c r="O30" s="40" t="s">
        <v>41</v>
      </c>
      <c r="P30" s="75"/>
      <c r="Q30" s="27" t="s">
        <v>136</v>
      </c>
      <c r="R30" s="27" t="s">
        <v>168</v>
      </c>
      <c r="S30" s="27" t="s">
        <v>136</v>
      </c>
      <c r="T30" s="27">
        <v>2</v>
      </c>
      <c r="U30" s="27" t="s">
        <v>140</v>
      </c>
      <c r="V30" s="54" t="s">
        <v>41</v>
      </c>
      <c r="W30" s="75"/>
      <c r="X30" s="27" t="s">
        <v>136</v>
      </c>
      <c r="Y30" s="27" t="s">
        <v>168</v>
      </c>
      <c r="Z30" s="27" t="s">
        <v>136</v>
      </c>
      <c r="AA30" s="27">
        <v>2</v>
      </c>
      <c r="AB30" s="27" t="s">
        <v>140</v>
      </c>
      <c r="AC30" s="54" t="s">
        <v>41</v>
      </c>
    </row>
    <row r="31" spans="1:29" ht="21" x14ac:dyDescent="0.25">
      <c r="A31" s="56"/>
      <c r="B31" s="12" t="s">
        <v>9</v>
      </c>
      <c r="C31" s="12" t="s">
        <v>126</v>
      </c>
      <c r="D31" s="12" t="s">
        <v>138</v>
      </c>
      <c r="E31" s="12">
        <v>83</v>
      </c>
      <c r="F31" s="12" t="s">
        <v>40</v>
      </c>
      <c r="G31" s="12">
        <v>3</v>
      </c>
      <c r="H31" s="12" t="s">
        <v>139</v>
      </c>
      <c r="I31" s="12" t="s">
        <v>139</v>
      </c>
      <c r="J31" s="12">
        <f t="shared" si="4"/>
        <v>3.614457831325301E-2</v>
      </c>
      <c r="K31" s="12" t="s">
        <v>137</v>
      </c>
      <c r="L31" s="12" t="s">
        <v>161</v>
      </c>
      <c r="M31" s="12" t="s">
        <v>137</v>
      </c>
      <c r="N31" s="12" t="s">
        <v>140</v>
      </c>
      <c r="O31" s="40" t="s">
        <v>41</v>
      </c>
      <c r="P31" s="75"/>
      <c r="Q31" s="27" t="s">
        <v>136</v>
      </c>
      <c r="R31" s="27" t="s">
        <v>168</v>
      </c>
      <c r="S31" s="27" t="s">
        <v>136</v>
      </c>
      <c r="T31" s="27">
        <v>2</v>
      </c>
      <c r="U31" s="27" t="s">
        <v>140</v>
      </c>
      <c r="V31" s="54" t="s">
        <v>41</v>
      </c>
      <c r="W31" s="75"/>
      <c r="X31" s="27" t="s">
        <v>136</v>
      </c>
      <c r="Y31" s="27" t="s">
        <v>168</v>
      </c>
      <c r="Z31" s="27" t="s">
        <v>136</v>
      </c>
      <c r="AA31" s="27">
        <v>2</v>
      </c>
      <c r="AB31" s="27" t="s">
        <v>140</v>
      </c>
      <c r="AC31" s="54" t="s">
        <v>41</v>
      </c>
    </row>
    <row r="32" spans="1:29" ht="21" x14ac:dyDescent="0.25">
      <c r="A32" s="56"/>
      <c r="B32" s="12" t="s">
        <v>8</v>
      </c>
      <c r="C32" s="12" t="s">
        <v>127</v>
      </c>
      <c r="D32" s="12" t="s">
        <v>138</v>
      </c>
      <c r="E32" s="12">
        <v>11</v>
      </c>
      <c r="F32" s="12" t="s">
        <v>40</v>
      </c>
      <c r="G32" s="12">
        <v>4</v>
      </c>
      <c r="H32" s="12">
        <v>5</v>
      </c>
      <c r="I32" s="12">
        <v>2</v>
      </c>
      <c r="J32" s="12">
        <f t="shared" si="4"/>
        <v>0.36363636363636365</v>
      </c>
      <c r="K32" s="12" t="s">
        <v>136</v>
      </c>
      <c r="L32" s="12" t="s">
        <v>158</v>
      </c>
      <c r="M32" s="12" t="s">
        <v>136</v>
      </c>
      <c r="N32" s="12" t="s">
        <v>161</v>
      </c>
      <c r="O32" s="40" t="s">
        <v>40</v>
      </c>
      <c r="P32" s="75"/>
      <c r="Q32" s="80"/>
      <c r="R32" s="80"/>
      <c r="S32" s="80"/>
      <c r="T32" s="80"/>
      <c r="U32" s="80"/>
      <c r="V32" s="54"/>
      <c r="W32" s="75"/>
      <c r="X32" s="80"/>
      <c r="Y32" s="80"/>
      <c r="Z32" s="80"/>
      <c r="AA32" s="80"/>
      <c r="AB32" s="80"/>
      <c r="AC32" s="54"/>
    </row>
    <row r="33" spans="1:29" ht="21" x14ac:dyDescent="0.25">
      <c r="A33" s="56"/>
      <c r="B33" s="12" t="s">
        <v>9</v>
      </c>
      <c r="C33" s="12" t="s">
        <v>127</v>
      </c>
      <c r="D33" s="12" t="s">
        <v>138</v>
      </c>
      <c r="E33" s="12">
        <v>11</v>
      </c>
      <c r="F33" s="12" t="s">
        <v>40</v>
      </c>
      <c r="G33" s="12">
        <v>4</v>
      </c>
      <c r="H33" s="12">
        <v>5</v>
      </c>
      <c r="I33" s="12">
        <v>2</v>
      </c>
      <c r="J33" s="12">
        <f t="shared" si="4"/>
        <v>0.36363636363636365</v>
      </c>
      <c r="K33" s="12" t="s">
        <v>136</v>
      </c>
      <c r="L33" s="12" t="s">
        <v>158</v>
      </c>
      <c r="M33" s="12" t="s">
        <v>136</v>
      </c>
      <c r="N33" s="12" t="s">
        <v>161</v>
      </c>
      <c r="O33" s="40" t="s">
        <v>40</v>
      </c>
      <c r="P33" s="75"/>
      <c r="Q33" s="80"/>
      <c r="R33" s="80"/>
      <c r="S33" s="80"/>
      <c r="T33" s="80"/>
      <c r="U33" s="80"/>
      <c r="V33" s="54"/>
      <c r="W33" s="75"/>
      <c r="X33" s="80"/>
      <c r="Y33" s="80"/>
      <c r="Z33" s="80"/>
      <c r="AA33" s="80"/>
      <c r="AB33" s="80"/>
      <c r="AC33" s="54"/>
    </row>
    <row r="34" spans="1:29" ht="21" x14ac:dyDescent="0.25">
      <c r="A34" s="56"/>
      <c r="B34" s="12" t="s">
        <v>8</v>
      </c>
      <c r="C34" s="12" t="s">
        <v>128</v>
      </c>
      <c r="D34" s="12" t="s">
        <v>138</v>
      </c>
      <c r="E34" s="12">
        <v>11</v>
      </c>
      <c r="F34" s="12" t="s">
        <v>40</v>
      </c>
      <c r="G34" s="12">
        <v>1</v>
      </c>
      <c r="H34" s="12">
        <v>4</v>
      </c>
      <c r="I34" s="12">
        <v>6</v>
      </c>
      <c r="J34" s="12">
        <f t="shared" si="4"/>
        <v>9.0909090909090912E-2</v>
      </c>
      <c r="K34" s="12" t="s">
        <v>137</v>
      </c>
      <c r="L34" s="12" t="s">
        <v>161</v>
      </c>
      <c r="M34" s="12" t="s">
        <v>137</v>
      </c>
      <c r="N34" s="12" t="s">
        <v>140</v>
      </c>
      <c r="O34" s="40" t="s">
        <v>41</v>
      </c>
      <c r="P34" s="75"/>
      <c r="Q34" s="80"/>
      <c r="R34" s="80"/>
      <c r="S34" s="80"/>
      <c r="T34" s="80"/>
      <c r="U34" s="80"/>
      <c r="V34" s="54"/>
      <c r="W34" s="75"/>
      <c r="X34" s="80"/>
      <c r="Y34" s="80"/>
      <c r="Z34" s="80"/>
      <c r="AA34" s="80"/>
      <c r="AB34" s="80"/>
      <c r="AC34" s="54"/>
    </row>
    <row r="35" spans="1:29" ht="21" x14ac:dyDescent="0.25">
      <c r="A35" s="56"/>
      <c r="B35" s="12" t="s">
        <v>9</v>
      </c>
      <c r="C35" s="12" t="s">
        <v>128</v>
      </c>
      <c r="D35" s="12" t="s">
        <v>138</v>
      </c>
      <c r="E35" s="12">
        <v>11</v>
      </c>
      <c r="F35" s="12" t="s">
        <v>40</v>
      </c>
      <c r="G35" s="12">
        <v>1</v>
      </c>
      <c r="H35" s="12">
        <v>4</v>
      </c>
      <c r="I35" s="12">
        <v>6</v>
      </c>
      <c r="J35" s="12">
        <f t="shared" si="4"/>
        <v>9.0909090909090912E-2</v>
      </c>
      <c r="K35" s="12" t="s">
        <v>137</v>
      </c>
      <c r="L35" s="12" t="s">
        <v>161</v>
      </c>
      <c r="M35" s="12" t="s">
        <v>137</v>
      </c>
      <c r="N35" s="12" t="s">
        <v>140</v>
      </c>
      <c r="O35" s="40" t="s">
        <v>41</v>
      </c>
      <c r="P35" s="75"/>
      <c r="Q35" s="80"/>
      <c r="R35" s="80"/>
      <c r="S35" s="80"/>
      <c r="T35" s="80"/>
      <c r="U35" s="80"/>
      <c r="V35" s="54"/>
      <c r="W35" s="75"/>
      <c r="X35" s="80"/>
      <c r="Y35" s="80"/>
      <c r="Z35" s="80"/>
      <c r="AA35" s="80"/>
      <c r="AB35" s="80"/>
      <c r="AC35" s="54"/>
    </row>
    <row r="36" spans="1:29" ht="21" x14ac:dyDescent="0.25">
      <c r="A36" s="56"/>
      <c r="B36" s="12" t="s">
        <v>8</v>
      </c>
      <c r="C36" s="12" t="s">
        <v>129</v>
      </c>
      <c r="D36" s="12" t="s">
        <v>138</v>
      </c>
      <c r="E36" s="12">
        <v>20</v>
      </c>
      <c r="F36" s="12" t="s">
        <v>40</v>
      </c>
      <c r="G36" s="12">
        <v>16</v>
      </c>
      <c r="H36" s="12">
        <v>4</v>
      </c>
      <c r="I36" s="12">
        <v>0</v>
      </c>
      <c r="J36" s="12">
        <f t="shared" si="4"/>
        <v>0.8</v>
      </c>
      <c r="K36" s="12" t="s">
        <v>136</v>
      </c>
      <c r="L36" s="12" t="s">
        <v>158</v>
      </c>
      <c r="M36" s="12" t="s">
        <v>169</v>
      </c>
      <c r="N36" s="12" t="s">
        <v>161</v>
      </c>
      <c r="O36" s="40" t="s">
        <v>40</v>
      </c>
      <c r="P36" s="75"/>
      <c r="Q36" s="80"/>
      <c r="R36" s="80"/>
      <c r="S36" s="80"/>
      <c r="T36" s="80"/>
      <c r="U36" s="80"/>
      <c r="V36" s="54"/>
      <c r="W36" s="75"/>
      <c r="X36" s="80"/>
      <c r="Y36" s="80"/>
      <c r="Z36" s="80"/>
      <c r="AA36" s="80"/>
      <c r="AB36" s="80"/>
      <c r="AC36" s="54"/>
    </row>
    <row r="37" spans="1:29" ht="21" x14ac:dyDescent="0.25">
      <c r="A37" s="56"/>
      <c r="B37" s="12" t="s">
        <v>9</v>
      </c>
      <c r="C37" s="12" t="s">
        <v>129</v>
      </c>
      <c r="D37" s="12" t="s">
        <v>138</v>
      </c>
      <c r="E37" s="12">
        <v>20</v>
      </c>
      <c r="F37" s="12" t="s">
        <v>40</v>
      </c>
      <c r="G37" s="12">
        <v>16</v>
      </c>
      <c r="H37" s="12">
        <v>4</v>
      </c>
      <c r="I37" s="12">
        <v>0</v>
      </c>
      <c r="J37" s="12">
        <f t="shared" si="4"/>
        <v>0.8</v>
      </c>
      <c r="K37" s="12" t="s">
        <v>136</v>
      </c>
      <c r="L37" s="12" t="s">
        <v>158</v>
      </c>
      <c r="M37" s="12" t="s">
        <v>169</v>
      </c>
      <c r="N37" s="12" t="s">
        <v>161</v>
      </c>
      <c r="O37" s="40" t="s">
        <v>40</v>
      </c>
      <c r="P37" s="75"/>
      <c r="Q37" s="80"/>
      <c r="R37" s="80"/>
      <c r="S37" s="80"/>
      <c r="T37" s="80"/>
      <c r="U37" s="80"/>
      <c r="V37" s="54"/>
      <c r="W37" s="75"/>
      <c r="X37" s="80"/>
      <c r="Y37" s="80"/>
      <c r="Z37" s="80"/>
      <c r="AA37" s="80"/>
      <c r="AB37" s="80"/>
      <c r="AC37" s="54"/>
    </row>
    <row r="38" spans="1:29" ht="21" x14ac:dyDescent="0.25">
      <c r="A38" s="56"/>
      <c r="B38" s="12" t="s">
        <v>8</v>
      </c>
      <c r="C38" s="12" t="s">
        <v>130</v>
      </c>
      <c r="D38" s="12" t="s">
        <v>138</v>
      </c>
      <c r="E38" s="12">
        <v>32</v>
      </c>
      <c r="F38" s="12" t="s">
        <v>40</v>
      </c>
      <c r="G38" s="12">
        <v>13</v>
      </c>
      <c r="H38" s="12">
        <v>15</v>
      </c>
      <c r="I38" s="12">
        <v>4</v>
      </c>
      <c r="J38" s="12">
        <f t="shared" si="4"/>
        <v>0.40625</v>
      </c>
      <c r="K38" s="12" t="s">
        <v>137</v>
      </c>
      <c r="L38" s="12" t="s">
        <v>161</v>
      </c>
      <c r="M38" s="12" t="s">
        <v>136</v>
      </c>
      <c r="N38" s="12" t="s">
        <v>161</v>
      </c>
      <c r="O38" s="40" t="s">
        <v>41</v>
      </c>
      <c r="P38" s="75"/>
      <c r="Q38" s="80"/>
      <c r="R38" s="80"/>
      <c r="S38" s="80"/>
      <c r="T38" s="80"/>
      <c r="U38" s="80"/>
      <c r="V38" s="54"/>
      <c r="W38" s="75"/>
      <c r="X38" s="80"/>
      <c r="Y38" s="80"/>
      <c r="Z38" s="80"/>
      <c r="AA38" s="80"/>
      <c r="AB38" s="80"/>
      <c r="AC38" s="54"/>
    </row>
    <row r="39" spans="1:29" ht="21" x14ac:dyDescent="0.25">
      <c r="A39" s="56"/>
      <c r="B39" s="12" t="s">
        <v>9</v>
      </c>
      <c r="C39" s="12" t="s">
        <v>130</v>
      </c>
      <c r="D39" s="12" t="s">
        <v>138</v>
      </c>
      <c r="E39" s="12">
        <v>32</v>
      </c>
      <c r="F39" s="12" t="s">
        <v>40</v>
      </c>
      <c r="G39" s="12">
        <v>13</v>
      </c>
      <c r="H39" s="12">
        <v>15</v>
      </c>
      <c r="I39" s="12">
        <v>4</v>
      </c>
      <c r="J39" s="12">
        <f t="shared" si="4"/>
        <v>0.40625</v>
      </c>
      <c r="K39" s="12" t="s">
        <v>137</v>
      </c>
      <c r="L39" s="12" t="s">
        <v>161</v>
      </c>
      <c r="M39" s="12" t="s">
        <v>136</v>
      </c>
      <c r="N39" s="12" t="s">
        <v>161</v>
      </c>
      <c r="O39" s="40" t="s">
        <v>41</v>
      </c>
      <c r="P39" s="75"/>
      <c r="Q39" s="80"/>
      <c r="R39" s="80"/>
      <c r="S39" s="80"/>
      <c r="T39" s="80"/>
      <c r="U39" s="80"/>
      <c r="V39" s="54"/>
      <c r="W39" s="75"/>
      <c r="X39" s="80"/>
      <c r="Y39" s="80"/>
      <c r="Z39" s="80"/>
      <c r="AA39" s="80"/>
      <c r="AB39" s="80"/>
      <c r="AC39" s="54"/>
    </row>
    <row r="40" spans="1:29" ht="21" x14ac:dyDescent="0.25">
      <c r="A40" s="56"/>
      <c r="B40" s="12" t="s">
        <v>8</v>
      </c>
      <c r="C40" s="12" t="s">
        <v>131</v>
      </c>
      <c r="D40" s="12" t="s">
        <v>138</v>
      </c>
      <c r="E40" s="12">
        <v>12</v>
      </c>
      <c r="F40" s="12" t="s">
        <v>40</v>
      </c>
      <c r="G40" s="12">
        <v>10</v>
      </c>
      <c r="H40" s="12">
        <v>2</v>
      </c>
      <c r="I40" s="12">
        <v>0</v>
      </c>
      <c r="J40" s="12">
        <f t="shared" si="4"/>
        <v>0.83333333333333337</v>
      </c>
      <c r="K40" s="12" t="s">
        <v>136</v>
      </c>
      <c r="L40" s="12" t="s">
        <v>158</v>
      </c>
      <c r="M40" s="12" t="s">
        <v>136</v>
      </c>
      <c r="N40" s="12" t="s">
        <v>161</v>
      </c>
      <c r="O40" s="40" t="s">
        <v>40</v>
      </c>
      <c r="P40" s="75"/>
      <c r="Q40" s="80"/>
      <c r="R40" s="80"/>
      <c r="S40" s="80"/>
      <c r="T40" s="80"/>
      <c r="U40" s="80"/>
      <c r="V40" s="54"/>
      <c r="W40" s="75"/>
      <c r="X40" s="80"/>
      <c r="Y40" s="80"/>
      <c r="Z40" s="80"/>
      <c r="AA40" s="80"/>
      <c r="AB40" s="80"/>
      <c r="AC40" s="54"/>
    </row>
    <row r="41" spans="1:29" ht="21" x14ac:dyDescent="0.25">
      <c r="A41" s="56"/>
      <c r="B41" s="12" t="s">
        <v>8</v>
      </c>
      <c r="C41" s="12" t="s">
        <v>131</v>
      </c>
      <c r="D41" s="12" t="s">
        <v>138</v>
      </c>
      <c r="E41" s="12">
        <v>12</v>
      </c>
      <c r="F41" s="12" t="s">
        <v>40</v>
      </c>
      <c r="G41" s="12">
        <v>10</v>
      </c>
      <c r="H41" s="12">
        <v>2</v>
      </c>
      <c r="I41" s="12">
        <v>0</v>
      </c>
      <c r="J41" s="12">
        <f t="shared" si="4"/>
        <v>0.83333333333333337</v>
      </c>
      <c r="K41" s="12" t="s">
        <v>136</v>
      </c>
      <c r="L41" s="12" t="s">
        <v>158</v>
      </c>
      <c r="M41" s="12" t="s">
        <v>136</v>
      </c>
      <c r="N41" s="12" t="s">
        <v>161</v>
      </c>
      <c r="O41" s="40" t="s">
        <v>40</v>
      </c>
      <c r="P41" s="75"/>
      <c r="Q41" s="80"/>
      <c r="R41" s="80"/>
      <c r="S41" s="80"/>
      <c r="T41" s="80"/>
      <c r="U41" s="80"/>
      <c r="V41" s="54"/>
      <c r="W41" s="75"/>
      <c r="X41" s="80"/>
      <c r="Y41" s="80"/>
      <c r="Z41" s="80"/>
      <c r="AA41" s="80"/>
      <c r="AB41" s="80"/>
      <c r="AC41" s="54"/>
    </row>
    <row r="42" spans="1:29" ht="21" x14ac:dyDescent="0.25">
      <c r="A42" s="56"/>
      <c r="B42" s="12" t="s">
        <v>8</v>
      </c>
      <c r="C42" s="12" t="s">
        <v>132</v>
      </c>
      <c r="D42" s="12" t="s">
        <v>138</v>
      </c>
      <c r="E42" s="12">
        <v>9</v>
      </c>
      <c r="F42" s="12" t="s">
        <v>40</v>
      </c>
      <c r="G42" s="12">
        <v>8</v>
      </c>
      <c r="H42" s="12">
        <v>1</v>
      </c>
      <c r="I42" s="12">
        <v>0</v>
      </c>
      <c r="J42" s="12">
        <f t="shared" si="4"/>
        <v>0.88888888888888884</v>
      </c>
      <c r="K42" s="12" t="s">
        <v>136</v>
      </c>
      <c r="L42" s="12" t="s">
        <v>158</v>
      </c>
      <c r="M42" s="12" t="s">
        <v>136</v>
      </c>
      <c r="N42" s="12" t="s">
        <v>161</v>
      </c>
      <c r="O42" s="40" t="s">
        <v>40</v>
      </c>
      <c r="P42" s="75"/>
      <c r="Q42" s="80"/>
      <c r="R42" s="80"/>
      <c r="S42" s="80"/>
      <c r="T42" s="80"/>
      <c r="U42" s="80"/>
      <c r="V42" s="54"/>
      <c r="W42" s="75"/>
      <c r="X42" s="80"/>
      <c r="Y42" s="80"/>
      <c r="Z42" s="80"/>
      <c r="AA42" s="80"/>
      <c r="AB42" s="80"/>
      <c r="AC42" s="54"/>
    </row>
    <row r="43" spans="1:29" ht="21" x14ac:dyDescent="0.25">
      <c r="A43" s="56"/>
      <c r="B43" s="12" t="s">
        <v>9</v>
      </c>
      <c r="C43" s="12" t="s">
        <v>132</v>
      </c>
      <c r="D43" s="12" t="s">
        <v>138</v>
      </c>
      <c r="E43" s="12">
        <v>9</v>
      </c>
      <c r="F43" s="12" t="s">
        <v>40</v>
      </c>
      <c r="G43" s="12">
        <v>8</v>
      </c>
      <c r="H43" s="12">
        <v>1</v>
      </c>
      <c r="I43" s="12">
        <v>0</v>
      </c>
      <c r="J43" s="12">
        <f t="shared" si="4"/>
        <v>0.88888888888888884</v>
      </c>
      <c r="K43" s="12" t="s">
        <v>136</v>
      </c>
      <c r="L43" s="12" t="s">
        <v>158</v>
      </c>
      <c r="M43" s="12" t="s">
        <v>136</v>
      </c>
      <c r="N43" s="12" t="s">
        <v>161</v>
      </c>
      <c r="O43" s="40" t="s">
        <v>40</v>
      </c>
      <c r="P43" s="75"/>
      <c r="Q43" s="80"/>
      <c r="R43" s="80"/>
      <c r="S43" s="80"/>
      <c r="T43" s="80"/>
      <c r="U43" s="80"/>
      <c r="V43" s="54"/>
      <c r="W43" s="75"/>
      <c r="X43" s="80"/>
      <c r="Y43" s="80"/>
      <c r="Z43" s="80"/>
      <c r="AA43" s="80"/>
      <c r="AB43" s="80"/>
      <c r="AC43" s="54"/>
    </row>
    <row r="44" spans="1:29" ht="21" x14ac:dyDescent="0.25">
      <c r="A44" s="56"/>
      <c r="B44" s="12" t="s">
        <v>8</v>
      </c>
      <c r="C44" s="12" t="s">
        <v>133</v>
      </c>
      <c r="D44" s="12" t="s">
        <v>138</v>
      </c>
      <c r="E44" s="12">
        <v>39</v>
      </c>
      <c r="F44" s="12" t="s">
        <v>40</v>
      </c>
      <c r="G44" s="12">
        <v>28</v>
      </c>
      <c r="H44" s="12">
        <v>11</v>
      </c>
      <c r="I44" s="12">
        <v>0</v>
      </c>
      <c r="J44" s="12">
        <f t="shared" si="4"/>
        <v>0.71794871794871795</v>
      </c>
      <c r="K44" s="12" t="s">
        <v>136</v>
      </c>
      <c r="L44" s="12" t="s">
        <v>158</v>
      </c>
      <c r="M44" s="12" t="s">
        <v>137</v>
      </c>
      <c r="N44" s="12" t="s">
        <v>140</v>
      </c>
      <c r="O44" s="40" t="s">
        <v>39</v>
      </c>
      <c r="P44" s="75"/>
      <c r="Q44" s="80"/>
      <c r="R44" s="80"/>
      <c r="S44" s="80"/>
      <c r="T44" s="80"/>
      <c r="U44" s="80"/>
      <c r="V44" s="54"/>
      <c r="W44" s="75"/>
      <c r="X44" s="80"/>
      <c r="Y44" s="80"/>
      <c r="Z44" s="80"/>
      <c r="AA44" s="80"/>
      <c r="AB44" s="80"/>
      <c r="AC44" s="54"/>
    </row>
    <row r="45" spans="1:29" ht="22" thickBot="1" x14ac:dyDescent="0.3">
      <c r="A45" s="57"/>
      <c r="B45" s="43" t="s">
        <v>9</v>
      </c>
      <c r="C45" s="43" t="s">
        <v>133</v>
      </c>
      <c r="D45" s="43" t="s">
        <v>138</v>
      </c>
      <c r="E45" s="43">
        <v>39</v>
      </c>
      <c r="F45" s="43" t="s">
        <v>40</v>
      </c>
      <c r="G45" s="43">
        <v>28</v>
      </c>
      <c r="H45" s="43">
        <v>11</v>
      </c>
      <c r="I45" s="43">
        <v>0</v>
      </c>
      <c r="J45" s="43">
        <f t="shared" si="4"/>
        <v>0.71794871794871795</v>
      </c>
      <c r="K45" s="43" t="s">
        <v>136</v>
      </c>
      <c r="L45" s="43" t="s">
        <v>158</v>
      </c>
      <c r="M45" s="43" t="s">
        <v>137</v>
      </c>
      <c r="N45" s="43" t="s">
        <v>140</v>
      </c>
      <c r="O45" s="48" t="s">
        <v>39</v>
      </c>
      <c r="P45" s="76"/>
      <c r="Q45" s="82"/>
      <c r="R45" s="82"/>
      <c r="S45" s="82"/>
      <c r="T45" s="82"/>
      <c r="U45" s="82"/>
      <c r="V45" s="58"/>
      <c r="W45" s="76"/>
      <c r="X45" s="82"/>
      <c r="Y45" s="82"/>
      <c r="Z45" s="82"/>
      <c r="AA45" s="82"/>
      <c r="AB45" s="82"/>
      <c r="AC45" s="58"/>
    </row>
  </sheetData>
  <mergeCells count="12">
    <mergeCell ref="W1:W3"/>
    <mergeCell ref="X1:Z1"/>
    <mergeCell ref="AA1:AB1"/>
    <mergeCell ref="A4:A22"/>
    <mergeCell ref="P4:P22"/>
    <mergeCell ref="W4:W22"/>
    <mergeCell ref="A1:A3"/>
    <mergeCell ref="G1:J1"/>
    <mergeCell ref="K1:L1"/>
    <mergeCell ref="P1:P3"/>
    <mergeCell ref="Q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AMSTAR-2</vt:lpstr>
      <vt:lpstr>Credibility assessment</vt:lpstr>
      <vt:lpstr>GRADE</vt:lpstr>
      <vt:lpstr>GRADE by MA, main</vt:lpstr>
      <vt:lpstr>GRADE by MA, modality</vt:lpstr>
      <vt:lpstr>GRADE by MA, fracture location</vt:lpstr>
      <vt:lpstr>GRADE by MA, population</vt:lpstr>
      <vt:lpstr>GRADE by MA,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Kuo</dc:creator>
  <cp:lastModifiedBy>Rachel Kuo</cp:lastModifiedBy>
  <dcterms:created xsi:type="dcterms:W3CDTF">2025-09-18T13:04:29Z</dcterms:created>
  <dcterms:modified xsi:type="dcterms:W3CDTF">2025-12-15T10:58:58Z</dcterms:modified>
</cp:coreProperties>
</file>